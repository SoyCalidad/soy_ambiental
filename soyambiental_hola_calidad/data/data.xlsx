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5.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6.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charts/chart14.xml" ContentType="application/vnd.openxmlformats-officedocument.drawingml.chart+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227"/>
  <workbookPr/>
  <mc:AlternateContent xmlns:mc="http://schemas.openxmlformats.org/markup-compatibility/2006">
    <mc:Choice Requires="x15">
      <x15ac:absPath xmlns:x15ac="http://schemas.microsoft.com/office/spreadsheetml/2010/11/ac" url="C:\Users\hansen\Desktop\Soy Ambiental\"/>
    </mc:Choice>
  </mc:AlternateContent>
  <xr:revisionPtr revIDLastSave="0" documentId="13_ncr:1_{1A259A9C-7709-42DC-BC66-95F76794F3FE}" xr6:coauthVersionLast="47" xr6:coauthVersionMax="47" xr10:uidLastSave="{00000000-0000-0000-0000-000000000000}"/>
  <bookViews>
    <workbookView xWindow="-120" yWindow="480" windowWidth="38640" windowHeight="21240" tabRatio="785" activeTab="4" xr2:uid="{00000000-000D-0000-FFFF-FFFF00000000}"/>
  </bookViews>
  <sheets>
    <sheet name="VALORES" sheetId="1" r:id="rId1"/>
    <sheet name="REQUISITOS" sheetId="2" r:id="rId2"/>
    <sheet name="ANÁLISIS DATOS GLOBAL" sheetId="3" r:id="rId3"/>
    <sheet name="ANÁLISIS 4" sheetId="4" r:id="rId4"/>
    <sheet name="ANÁLISIS 5" sheetId="5" r:id="rId5"/>
    <sheet name="ANÁLISIS 6" sheetId="6" r:id="rId6"/>
    <sheet name="ANÁLISIS 7" sheetId="7" r:id="rId7"/>
    <sheet name="ANÁLISIS 8" sheetId="8" r:id="rId8"/>
    <sheet name="ANÁLISIS 9" sheetId="9" r:id="rId9"/>
    <sheet name="ANÁLISIS 10"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4" i="10" l="1"/>
  <c r="E14" i="10"/>
  <c r="F14" i="10"/>
  <c r="G14" i="10"/>
  <c r="H14" i="10"/>
  <c r="C14" i="10"/>
  <c r="D13" i="10"/>
  <c r="E13" i="10"/>
  <c r="F13" i="10"/>
  <c r="G13" i="10"/>
  <c r="H13" i="10"/>
  <c r="C13" i="10"/>
  <c r="D13" i="9"/>
  <c r="E13" i="9"/>
  <c r="F13" i="9"/>
  <c r="G13" i="9"/>
  <c r="H13" i="9"/>
  <c r="D14" i="9"/>
  <c r="E14" i="9"/>
  <c r="F14" i="9"/>
  <c r="G14" i="9"/>
  <c r="H14" i="9"/>
  <c r="D15" i="9"/>
  <c r="E15" i="9"/>
  <c r="F15" i="9"/>
  <c r="G15" i="9"/>
  <c r="H15" i="9"/>
  <c r="C14" i="9"/>
  <c r="C13" i="9"/>
  <c r="D12" i="8"/>
  <c r="E12" i="8"/>
  <c r="F12" i="8"/>
  <c r="G12" i="8"/>
  <c r="H12" i="8"/>
  <c r="D11" i="8"/>
  <c r="E11" i="8"/>
  <c r="F11" i="8"/>
  <c r="G11" i="8"/>
  <c r="H11" i="8"/>
  <c r="C11" i="8"/>
  <c r="D12" i="7"/>
  <c r="E12" i="7"/>
  <c r="F12" i="7"/>
  <c r="G12" i="7"/>
  <c r="H12" i="7"/>
  <c r="D13" i="7"/>
  <c r="E13" i="7"/>
  <c r="F13" i="7"/>
  <c r="G13" i="7"/>
  <c r="H13" i="7"/>
  <c r="D14" i="7"/>
  <c r="E14" i="7"/>
  <c r="F14" i="7"/>
  <c r="G14" i="7"/>
  <c r="H14" i="7"/>
  <c r="D15" i="7"/>
  <c r="E15" i="7"/>
  <c r="F15" i="7"/>
  <c r="G15" i="7"/>
  <c r="H15" i="7"/>
  <c r="D16" i="7"/>
  <c r="E16" i="7"/>
  <c r="F16" i="7"/>
  <c r="G16" i="7"/>
  <c r="H16" i="7"/>
  <c r="C16" i="7"/>
  <c r="C15" i="7"/>
  <c r="C14" i="7"/>
  <c r="C13" i="7"/>
  <c r="D12" i="6"/>
  <c r="E12" i="6"/>
  <c r="F12" i="6"/>
  <c r="G12" i="6"/>
  <c r="H12" i="6"/>
  <c r="D13" i="6"/>
  <c r="E13" i="6"/>
  <c r="F13" i="6"/>
  <c r="G13" i="6"/>
  <c r="H13" i="6"/>
  <c r="C13" i="6"/>
  <c r="C12" i="6"/>
  <c r="D13" i="5"/>
  <c r="E13" i="5"/>
  <c r="F13" i="5"/>
  <c r="G13" i="5"/>
  <c r="H13" i="5"/>
  <c r="C13" i="5"/>
  <c r="D12" i="5"/>
  <c r="E12" i="5"/>
  <c r="F12" i="5"/>
  <c r="G12" i="5"/>
  <c r="H12" i="5"/>
  <c r="C12" i="5"/>
  <c r="D14" i="4"/>
  <c r="E14" i="4"/>
  <c r="F14" i="4"/>
  <c r="G14" i="4"/>
  <c r="H14" i="4"/>
  <c r="C14" i="4"/>
  <c r="C11" i="3"/>
  <c r="D13" i="4"/>
  <c r="E13" i="4"/>
  <c r="F13" i="4"/>
  <c r="G13" i="4"/>
  <c r="H13" i="4"/>
  <c r="C13" i="4"/>
  <c r="D66" i="3"/>
  <c r="E66" i="3"/>
  <c r="F66" i="3"/>
  <c r="G66" i="3"/>
  <c r="H66" i="3"/>
  <c r="C66" i="3"/>
  <c r="D56" i="3"/>
  <c r="E56" i="3"/>
  <c r="F56" i="3"/>
  <c r="G56" i="3"/>
  <c r="H56" i="3"/>
  <c r="D57" i="3"/>
  <c r="E57" i="3"/>
  <c r="F57" i="3"/>
  <c r="G57" i="3"/>
  <c r="H57" i="3"/>
  <c r="D58" i="3"/>
  <c r="E58" i="3"/>
  <c r="F58" i="3"/>
  <c r="G58" i="3"/>
  <c r="H58" i="3"/>
  <c r="C57" i="3"/>
  <c r="C56" i="3"/>
  <c r="E48" i="3"/>
  <c r="F48" i="3"/>
  <c r="G48" i="3"/>
  <c r="H48" i="3"/>
  <c r="D48" i="3"/>
  <c r="C48" i="3"/>
  <c r="D37" i="3"/>
  <c r="E37" i="3"/>
  <c r="F37" i="3"/>
  <c r="G37" i="3"/>
  <c r="H37" i="3"/>
  <c r="D38" i="3"/>
  <c r="E38" i="3"/>
  <c r="F38" i="3"/>
  <c r="G38" i="3"/>
  <c r="H38" i="3"/>
  <c r="D39" i="3"/>
  <c r="E39" i="3"/>
  <c r="F39" i="3"/>
  <c r="G39" i="3"/>
  <c r="H39" i="3"/>
  <c r="D40" i="3"/>
  <c r="E40" i="3"/>
  <c r="F40" i="3"/>
  <c r="G40" i="3"/>
  <c r="H40" i="3"/>
  <c r="D41" i="3"/>
  <c r="E41" i="3"/>
  <c r="F41" i="3"/>
  <c r="G41" i="3"/>
  <c r="H41" i="3"/>
  <c r="C41" i="3"/>
  <c r="C40" i="3"/>
  <c r="C39" i="3"/>
  <c r="C38" i="3"/>
  <c r="D29" i="3"/>
  <c r="E29" i="3"/>
  <c r="F29" i="3"/>
  <c r="G29" i="3"/>
  <c r="H29" i="3"/>
  <c r="D30" i="3"/>
  <c r="E30" i="3"/>
  <c r="F30" i="3"/>
  <c r="G30" i="3"/>
  <c r="H30" i="3"/>
  <c r="C30" i="3"/>
  <c r="C29" i="3"/>
  <c r="D20" i="3"/>
  <c r="E20" i="3"/>
  <c r="F20" i="3"/>
  <c r="G20" i="3"/>
  <c r="H20" i="3"/>
  <c r="D21" i="3"/>
  <c r="E21" i="3"/>
  <c r="F21" i="3"/>
  <c r="G21" i="3"/>
  <c r="H21" i="3"/>
  <c r="D22" i="3"/>
  <c r="E22" i="3"/>
  <c r="F22" i="3"/>
  <c r="G22" i="3"/>
  <c r="H22" i="3"/>
  <c r="C21" i="3"/>
  <c r="C20" i="3"/>
  <c r="D11" i="3"/>
  <c r="E11" i="3"/>
  <c r="F11" i="3"/>
  <c r="G11" i="3"/>
  <c r="H11" i="3"/>
  <c r="D12" i="3"/>
  <c r="E12" i="3"/>
  <c r="F12" i="3"/>
  <c r="G12" i="3"/>
  <c r="H12" i="3"/>
  <c r="E10" i="3"/>
  <c r="F10" i="3"/>
  <c r="G10" i="3"/>
  <c r="H10" i="3"/>
  <c r="D10" i="3"/>
  <c r="C10" i="3"/>
  <c r="D12" i="10"/>
  <c r="E12" i="10"/>
  <c r="F12" i="10"/>
  <c r="G12" i="10"/>
  <c r="H12" i="10"/>
  <c r="C12" i="10"/>
  <c r="C15" i="9"/>
  <c r="C12" i="8"/>
  <c r="D14" i="5"/>
  <c r="E14" i="5"/>
  <c r="F14" i="5"/>
  <c r="G14" i="5"/>
  <c r="H14" i="5"/>
  <c r="C14" i="5"/>
  <c r="D15" i="4"/>
  <c r="E15" i="4"/>
  <c r="F15" i="4"/>
  <c r="G15" i="4"/>
  <c r="H15" i="4"/>
  <c r="C15" i="4"/>
  <c r="D12" i="4"/>
  <c r="E12" i="4"/>
  <c r="F12" i="4"/>
  <c r="G12" i="4"/>
  <c r="H12" i="4"/>
  <c r="C12" i="4"/>
  <c r="D65" i="3"/>
  <c r="E65" i="3"/>
  <c r="F65" i="3"/>
  <c r="G65" i="3"/>
  <c r="H65" i="3"/>
  <c r="C65" i="3"/>
  <c r="C58" i="3"/>
  <c r="D49" i="3"/>
  <c r="E49" i="3"/>
  <c r="F49" i="3"/>
  <c r="G49" i="3"/>
  <c r="H49" i="3"/>
  <c r="C49" i="3"/>
  <c r="C37" i="3"/>
  <c r="C22" i="3"/>
  <c r="C12" i="3"/>
  <c r="D9" i="3"/>
  <c r="E9" i="3"/>
  <c r="F9" i="3"/>
  <c r="G9" i="3"/>
  <c r="H9" i="3"/>
  <c r="C9" i="3"/>
  <c r="C13" i="3" s="1"/>
  <c r="I14" i="10" l="1"/>
  <c r="H13" i="8"/>
  <c r="C15" i="10"/>
  <c r="C13" i="8"/>
  <c r="G13" i="8"/>
  <c r="C16" i="9"/>
  <c r="C59" i="3"/>
  <c r="F13" i="8"/>
  <c r="E13" i="8"/>
  <c r="D13" i="8"/>
  <c r="I12" i="5"/>
  <c r="H16" i="4"/>
  <c r="C50" i="3"/>
  <c r="C42" i="3"/>
  <c r="I41" i="3"/>
  <c r="C31" i="3"/>
  <c r="I30" i="3"/>
  <c r="B45" i="6"/>
  <c r="H5" i="10"/>
  <c r="G5" i="9"/>
  <c r="F5" i="8"/>
  <c r="G5" i="7"/>
  <c r="F5" i="6"/>
  <c r="E5" i="5"/>
  <c r="F5" i="4"/>
  <c r="H16" i="9" l="1"/>
  <c r="G16" i="9"/>
  <c r="F16" i="9"/>
  <c r="E16" i="9"/>
  <c r="D16" i="9"/>
  <c r="C12" i="7"/>
  <c r="C17" i="7" s="1"/>
  <c r="C14" i="6"/>
  <c r="H59" i="3"/>
  <c r="G59" i="3"/>
  <c r="F59" i="3"/>
  <c r="E59" i="3"/>
  <c r="D59" i="3"/>
  <c r="H50" i="3"/>
  <c r="G50" i="3"/>
  <c r="F50" i="3"/>
  <c r="E50" i="3"/>
  <c r="D50" i="3"/>
  <c r="L15" i="3"/>
  <c r="L14" i="3"/>
  <c r="L12" i="3"/>
  <c r="L11" i="3"/>
  <c r="L10" i="3"/>
  <c r="L9" i="3"/>
  <c r="C16" i="4" l="1"/>
  <c r="G16" i="4"/>
  <c r="E16" i="4"/>
  <c r="F16" i="4"/>
  <c r="D16" i="4"/>
  <c r="H13" i="3"/>
  <c r="D13" i="3"/>
  <c r="E13" i="3"/>
  <c r="F13" i="3"/>
  <c r="G13" i="3"/>
  <c r="F23" i="3"/>
  <c r="F42" i="3"/>
  <c r="D67" i="3"/>
  <c r="H67" i="3"/>
  <c r="D15" i="5"/>
  <c r="F14" i="6"/>
  <c r="D17" i="7"/>
  <c r="H17" i="7"/>
  <c r="E31" i="3"/>
  <c r="G42" i="3"/>
  <c r="E67" i="3"/>
  <c r="E17" i="7"/>
  <c r="G15" i="10"/>
  <c r="F15" i="10"/>
  <c r="I14" i="9"/>
  <c r="D42" i="3"/>
  <c r="F17" i="7"/>
  <c r="D15" i="10"/>
  <c r="H15" i="10"/>
  <c r="I15" i="9"/>
  <c r="H42" i="3"/>
  <c r="E15" i="10"/>
  <c r="I58" i="3"/>
  <c r="H23" i="3"/>
  <c r="F67" i="3"/>
  <c r="I20" i="3"/>
  <c r="I65" i="3"/>
  <c r="G67" i="3"/>
  <c r="C15" i="5"/>
  <c r="G15" i="5"/>
  <c r="E14" i="6"/>
  <c r="G17" i="7"/>
  <c r="I40" i="3"/>
  <c r="I49" i="3"/>
  <c r="F15" i="5"/>
  <c r="I12" i="3"/>
  <c r="D31" i="3"/>
  <c r="H31" i="3"/>
  <c r="I66" i="3"/>
  <c r="I13" i="4"/>
  <c r="G14" i="6"/>
  <c r="I12" i="7"/>
  <c r="I14" i="7"/>
  <c r="I16" i="7"/>
  <c r="I12" i="8"/>
  <c r="I13" i="10"/>
  <c r="I21" i="3"/>
  <c r="C23" i="3"/>
  <c r="G23" i="3"/>
  <c r="I39" i="3"/>
  <c r="F31" i="3"/>
  <c r="I12" i="4"/>
  <c r="I14" i="4"/>
  <c r="I13" i="5"/>
  <c r="E15" i="5"/>
  <c r="I13" i="7"/>
  <c r="I15" i="7"/>
  <c r="I11" i="3"/>
  <c r="E23" i="3"/>
  <c r="I29" i="3"/>
  <c r="G31" i="3"/>
  <c r="E42" i="3"/>
  <c r="I38" i="3"/>
  <c r="I48" i="3"/>
  <c r="I57" i="3"/>
  <c r="H15" i="5"/>
  <c r="D14" i="6"/>
  <c r="H14" i="6"/>
  <c r="I10" i="3"/>
  <c r="I9" i="3"/>
  <c r="I22" i="3"/>
  <c r="I37" i="3"/>
  <c r="I56" i="3"/>
  <c r="I13" i="6"/>
  <c r="I12" i="10"/>
  <c r="D23" i="3"/>
  <c r="C67" i="3"/>
  <c r="C74" i="3" s="1"/>
  <c r="I15" i="4"/>
  <c r="I14" i="5"/>
  <c r="I12" i="6"/>
  <c r="I11" i="8"/>
  <c r="I13" i="9"/>
  <c r="I31" i="3" l="1"/>
  <c r="B33" i="3" s="1"/>
  <c r="I16" i="9"/>
  <c r="B18" i="9" s="1"/>
  <c r="B45" i="9" s="1"/>
  <c r="I67" i="3"/>
  <c r="B69" i="3" s="1"/>
  <c r="M15" i="3" s="1"/>
  <c r="N15" i="3" s="1"/>
  <c r="I16" i="4"/>
  <c r="B18" i="4" s="1"/>
  <c r="B43" i="4" s="1"/>
  <c r="I13" i="8"/>
  <c r="B15" i="8" s="1"/>
  <c r="B46" i="8" s="1"/>
  <c r="I50" i="3"/>
  <c r="B52" i="3" s="1"/>
  <c r="M13" i="3" s="1"/>
  <c r="N13" i="3" s="1"/>
  <c r="I59" i="3"/>
  <c r="B61" i="3" s="1"/>
  <c r="M14" i="3" s="1"/>
  <c r="N14" i="3" s="1"/>
  <c r="I42" i="3"/>
  <c r="B44" i="3" s="1"/>
  <c r="M12" i="3" s="1"/>
  <c r="N12" i="3" s="1"/>
  <c r="I23" i="3"/>
  <c r="B25" i="3" s="1"/>
  <c r="M10" i="3" s="1"/>
  <c r="N10" i="3" s="1"/>
  <c r="I13" i="3"/>
  <c r="D74" i="3"/>
  <c r="F74" i="3"/>
  <c r="M11" i="3"/>
  <c r="N11" i="3" s="1"/>
  <c r="E74" i="3"/>
  <c r="G74" i="3"/>
  <c r="I15" i="5"/>
  <c r="B17" i="5" s="1"/>
  <c r="B42" i="5" s="1"/>
  <c r="H74" i="3"/>
  <c r="I17" i="7"/>
  <c r="B19" i="7" s="1"/>
  <c r="B46" i="7" s="1"/>
  <c r="I14" i="6"/>
  <c r="B16" i="6" s="1"/>
  <c r="I15" i="10"/>
  <c r="B17" i="10" s="1"/>
  <c r="B46" i="10" s="1"/>
  <c r="B15" i="3" l="1"/>
  <c r="M9" i="3" s="1"/>
  <c r="N9" i="3" s="1"/>
  <c r="I74" i="3"/>
  <c r="B76" i="3" s="1"/>
  <c r="M16" i="3" l="1"/>
  <c r="N16" i="3" l="1"/>
  <c r="L4" i="3" s="1"/>
  <c r="M17" i="3"/>
  <c r="L56" i="3" l="1"/>
</calcChain>
</file>

<file path=xl/sharedStrings.xml><?xml version="1.0" encoding="utf-8"?>
<sst xmlns="http://schemas.openxmlformats.org/spreadsheetml/2006/main" count="570" uniqueCount="351">
  <si>
    <t>VALORES DE CUMPLIMIENTO</t>
  </si>
  <si>
    <t>% De cumplimiento</t>
  </si>
  <si>
    <t>Detalle</t>
  </si>
  <si>
    <t>No documentado / No existente</t>
  </si>
  <si>
    <t>Aplicado / No documentado</t>
  </si>
  <si>
    <t>Documentado / No aplicado</t>
  </si>
  <si>
    <t>Aplicado y documentado</t>
  </si>
  <si>
    <t>Aplicado, documentado y controlado</t>
  </si>
  <si>
    <t>N/A</t>
  </si>
  <si>
    <t>No aplica</t>
  </si>
  <si>
    <t xml:space="preserve">EMPRESA: </t>
  </si>
  <si>
    <t xml:space="preserve">FECHA APLICACIÓN: </t>
  </si>
  <si>
    <t xml:space="preserve">RESPONSABLE: </t>
  </si>
  <si>
    <t>4. Contexto de la organización</t>
  </si>
  <si>
    <t>La organización Debe:</t>
  </si>
  <si>
    <t>Observaciones</t>
  </si>
  <si>
    <t>4.2 Comprensión de las necesidades y expectativas de las partes interesadas</t>
  </si>
  <si>
    <t>La organización Debe:</t>
  </si>
  <si>
    <t>5. Liderazgo</t>
  </si>
  <si>
    <t>5.1 Liderazgo y compromiso</t>
  </si>
  <si>
    <t>5.3 Roles, responsabilidades y autoridades en la organización</t>
  </si>
  <si>
    <t>La alta dirección Debe:</t>
  </si>
  <si>
    <t>6. Planificación</t>
  </si>
  <si>
    <t>6.1 Acciones para abordar riesgos y oportunidades</t>
  </si>
  <si>
    <t xml:space="preserve">La organización Debe: </t>
  </si>
  <si>
    <t>7. Apoyo</t>
  </si>
  <si>
    <t>Observacion</t>
  </si>
  <si>
    <t>7.2 Competencia</t>
  </si>
  <si>
    <t>La organización debe:</t>
  </si>
  <si>
    <t>7.4 Comunicación</t>
  </si>
  <si>
    <t>Qué comunicar</t>
  </si>
  <si>
    <t>Cuándo comunicar</t>
  </si>
  <si>
    <t>A quién comunicar</t>
  </si>
  <si>
    <t>Cómo comunicar</t>
  </si>
  <si>
    <t>8. Operación</t>
  </si>
  <si>
    <t>8.1 Planificación y control operacional</t>
  </si>
  <si>
    <t>9 Evaluación del desempeño</t>
  </si>
  <si>
    <t>9.1 Seguimiento, medición, análisis y evaluación</t>
  </si>
  <si>
    <t>9.2 Auditoría interna</t>
  </si>
  <si>
    <t>9.3 Revisión por la dirección</t>
  </si>
  <si>
    <t>10 Mejora</t>
  </si>
  <si>
    <t>10.2 No conformidad y acción correctiva</t>
  </si>
  <si>
    <t>ANÁLISIS DE INFORMACIÓN</t>
  </si>
  <si>
    <t>4. CONTEXTO DE LA ORGANIZACIÓN</t>
  </si>
  <si>
    <t>% IMPLEMENTACIÓN POR CLÁUSULA</t>
  </si>
  <si>
    <t>NUMERAL</t>
  </si>
  <si>
    <t>TOTALES</t>
  </si>
  <si>
    <t>4.1</t>
  </si>
  <si>
    <t>4.2</t>
  </si>
  <si>
    <t>4.3</t>
  </si>
  <si>
    <t>4.4</t>
  </si>
  <si>
    <t>PORCENTAJE DE IMPLEMENTACIÓN</t>
  </si>
  <si>
    <t>5. LIDERAZGO</t>
  </si>
  <si>
    <t>5.1</t>
  </si>
  <si>
    <t>5.2</t>
  </si>
  <si>
    <t>5.3</t>
  </si>
  <si>
    <t>6. PLANIFICACIÓN</t>
  </si>
  <si>
    <t>6.1</t>
  </si>
  <si>
    <t>6.2</t>
  </si>
  <si>
    <t>7. SOPORTE</t>
  </si>
  <si>
    <t>7.1</t>
  </si>
  <si>
    <t>7.2</t>
  </si>
  <si>
    <t>7.3</t>
  </si>
  <si>
    <t>7.4</t>
  </si>
  <si>
    <t>BRECHA</t>
  </si>
  <si>
    <t>7.5</t>
  </si>
  <si>
    <t>8. OPERACIÓN</t>
  </si>
  <si>
    <t>8.1</t>
  </si>
  <si>
    <t>8.2</t>
  </si>
  <si>
    <t>9. EVALUACIÓN DEL DESEMPEÑO</t>
  </si>
  <si>
    <t>9.1</t>
  </si>
  <si>
    <t>9.2</t>
  </si>
  <si>
    <t>9.3</t>
  </si>
  <si>
    <t xml:space="preserve"> para el cumplimiento del 100% de la norma.</t>
  </si>
  <si>
    <t>10. MEJORA</t>
  </si>
  <si>
    <t>10.1</t>
  </si>
  <si>
    <t>10.2</t>
  </si>
  <si>
    <t>SGC</t>
  </si>
  <si>
    <t>TOTAL</t>
  </si>
  <si>
    <t>&gt;&gt;&gt;&gt;&gt;&gt;</t>
  </si>
  <si>
    <t>0% -No documentado / No existente</t>
  </si>
  <si>
    <t>25% - Aplicado / No documentado</t>
  </si>
  <si>
    <t>50%  - Documentado / No aplicado</t>
  </si>
  <si>
    <t>75% - Aplicado y documentado</t>
  </si>
  <si>
    <t>100% - Aplicado, documentado y controlado</t>
  </si>
  <si>
    <t>PORCENTAJE DE IMPLEMENTACIÓN CLÁUSULA 4</t>
  </si>
  <si>
    <t>PORCENTAJE DE IMPLEMENTACIÓN CLÁUSULA 5</t>
  </si>
  <si>
    <t>6. PLANIFICACION</t>
  </si>
  <si>
    <t>PORCENTAJE DE IMPLEMENTACIÓN CLÁUSULA 6</t>
  </si>
  <si>
    <t>PORCENTAJE DE IMPLEMENTACIÓN CLÁUSULA 7</t>
  </si>
  <si>
    <t>PORCENTAJE DE IMPLEMENTACIÓN CLÁUSULA 8</t>
  </si>
  <si>
    <t>9. EVALUACION DEL DESEMPEÑO</t>
  </si>
  <si>
    <t>PORCENTAJE DE IMPLEMENTACIÓN CLÁUSULA 9</t>
  </si>
  <si>
    <t>PORCENTAJE DE IMPLEMENTACIÓN CLÁUSULA 10</t>
  </si>
  <si>
    <t>7.1 Recursos</t>
  </si>
  <si>
    <t>10.1 Generalidades</t>
  </si>
  <si>
    <t>VALORES DE NIVEL</t>
  </si>
  <si>
    <t>NIVEL</t>
  </si>
  <si>
    <t>0% - 24%</t>
  </si>
  <si>
    <t>INICIAL</t>
  </si>
  <si>
    <t>25% - 49%</t>
  </si>
  <si>
    <t>NOVATO</t>
  </si>
  <si>
    <t>50%- 74%</t>
  </si>
  <si>
    <t>COMPETENTE</t>
  </si>
  <si>
    <t>75%- 99%</t>
  </si>
  <si>
    <t>AVANZADO</t>
  </si>
  <si>
    <t>EXPERTO</t>
  </si>
  <si>
    <t>CLÁUSULA</t>
  </si>
  <si>
    <t xml:space="preserve">% DE IMPLEMENTACIÓN </t>
  </si>
  <si>
    <t>PORCENTAJE TOTAL DE IMPLEMENTACIÓN SGC</t>
  </si>
  <si>
    <t>TU NIVEL DE IMPLEMENTACIÓN GENERAL</t>
  </si>
  <si>
    <t>ANÁLISIS DE INFORMACIÓN E INTERPRETACIÓN</t>
  </si>
  <si>
    <t xml:space="preserve"> encontrándose en un nivel de implementación </t>
  </si>
  <si>
    <t>TU NIVEL EN ÉSTA CLÁUSULA ES DE NIVEL</t>
  </si>
  <si>
    <t>4.1 Comprensión de la organización y de su contexto</t>
  </si>
  <si>
    <t>7.5 Información documentada</t>
  </si>
  <si>
    <t>ANÁLISIS DE INFORMACIÓN Y RECOMENDACIONES</t>
  </si>
  <si>
    <t>7.APOYO</t>
  </si>
  <si>
    <t>Promoviendo la mejora continua.</t>
  </si>
  <si>
    <t>La política antisoborno debe:</t>
  </si>
  <si>
    <t>La alta dirección debe:</t>
  </si>
  <si>
    <t>6.1 Acciones para tratar riesgos y oportunidades</t>
  </si>
  <si>
    <t>Qué recursos se requerirán</t>
  </si>
  <si>
    <t>Quién será responsable</t>
  </si>
  <si>
    <t>7.3 Toma de conciencia y formación</t>
  </si>
  <si>
    <t>7.5.1 Generalidades</t>
  </si>
  <si>
    <t>El SGAS debe incluir la información documentada que la organización determina como necesaria para la eficacia del SGAS.</t>
  </si>
  <si>
    <t>7.5.2 Creación y actualización</t>
  </si>
  <si>
    <t>7.5.3 Control de la información documentada</t>
  </si>
  <si>
    <t>Esté protegida adecuadamente (por ejemplo, contra pérdida de la confidencialidad, uso inadecuado, o pérdida de integridad)</t>
  </si>
  <si>
    <t>Abordar las siguientes actividades según corresponda: distribución, acceso, recuperación y uso.</t>
  </si>
  <si>
    <t>Abordar las siguientes actividades según corresponda: almacenamiento y preservación, incluida la preservación de la legibilidad.</t>
  </si>
  <si>
    <t>Abordar las siguientes actividades según corresponda: control de cambios (por ejemplo, control de versión)</t>
  </si>
  <si>
    <t>Abordar las siguientes actividades según corresponda: conservación y disposición.</t>
  </si>
  <si>
    <t>La organización debe determinar:</t>
  </si>
  <si>
    <t>Qué necesita seguimiento y medición.</t>
  </si>
  <si>
    <t xml:space="preserve"> con respecto a los "DEBES" que la norma contempla en su totalidad dentro de cada uno de sus requisitos, asi mismo la imagen "PORCENTAJE DE IMPLEMENTACIÓN DEL SGAS" muestra que existe una brecha de implementación de </t>
  </si>
  <si>
    <t>TOTAL DE IMPLEMENTACIÓN SGAS</t>
  </si>
  <si>
    <t>ANÁLISIS DEL GRADO DE IMPLEMENTACIÓN DE LA NORMA ISO 14001:2015</t>
  </si>
  <si>
    <t>Modo de uso: Con el texto de la norma ISO 14001:2015 en mano y para cada punto normativo, responda con total honestidad marcando con una X si cumple totalmente o parcialmente el requisito y de un % conforme a los valores de cumplimiento. Puede agregar un comentario para justificar su evaluación. En las demás hojas de calculo se mostrara la brecha en forma visual y los análisis por numeral de la norma.</t>
  </si>
  <si>
    <t>Determinar las cuestiones externas e internas que son pertinentes para su propósito y que afectan su capacidad para lograr los objetivos previstos de su sistema de gestión ambiental.</t>
  </si>
  <si>
    <t>Estas cuestiones incluyen las condiciones ambientales capaces de afectar o de verse afectadas por la organización.</t>
  </si>
  <si>
    <t>Determinar las partes interesadas que son pertinentes al sistema de gestión ambiental.</t>
  </si>
  <si>
    <t>Determinar las necesidades y expectativas pertinentes (es decir, requisitos) de estas partes interesadas.</t>
  </si>
  <si>
    <t>Determinar cuáles de estas necesidades y expectativas se convierten en requisitos legales y otros requisitos.</t>
  </si>
  <si>
    <t>4.3 Determinación del alcance del sistema de gestión ambiental</t>
  </si>
  <si>
    <t>Determinar los limites y la aplicabilidad del sistema de gestión ambiental para establecer su alcance.</t>
  </si>
  <si>
    <t>Considerar las cuestiones externas e internas a que se hace referencia en el apartado 4.1.</t>
  </si>
  <si>
    <t>Considerar los requisitos legales y otros requisitos a que se hace referencia en el apartado 4.2</t>
  </si>
  <si>
    <t>Considerar los unidades, funciones y límites físicos de la organización.</t>
  </si>
  <si>
    <t>Considerar sus actividades, productos y servicios.</t>
  </si>
  <si>
    <t>Considerar su autoridad y capacidad para ejercer control e influencia</t>
  </si>
  <si>
    <t>El alcance se debe mantener como información documentada y debe estar disponible para las partes interesadas.</t>
  </si>
  <si>
    <t>4.4 Sistema de gestión ambiental</t>
  </si>
  <si>
    <t>La organización debe establecer, implementar, mantener y mejorar continuamente un sistema de gestión ambiental, que incluya los procesos necesarios y sus interacciones, de acuerdo con los requisitos de la norma internacional.</t>
  </si>
  <si>
    <t>La alta dirección debe demostrar liderazgo y compromiso con respecto al sistema de gestión ambiental</t>
  </si>
  <si>
    <t>Asumiendo la responsabilidad y la rendición de cuentas con la relación a la eficacia del sistema de gestión ambiental</t>
  </si>
  <si>
    <t>Asegurándose de que se establezcan la política ambiental y los objetivos ambientales, y que éstos sean compatibles con la dirección estratégica y el contexto de la organización.</t>
  </si>
  <si>
    <t>Asegurándose de la integración de los requisitos del sistema de gestión ambiental en los procesos de negocio de la organización.</t>
  </si>
  <si>
    <t>Asegurándose de que los recursos necesarios para el sistema de gestión ambiental estén disponibles.</t>
  </si>
  <si>
    <t>Comunicando la importancia de una gestión ambiental eficaz y conforme con los requisitos del sistema de gestión ambiental.</t>
  </si>
  <si>
    <t>Asegurándose de que el sistema de gestión ambiental logre los resultados previstos.</t>
  </si>
  <si>
    <t>Dirigiendo y apoyando a las personas, para contribuir a la eficacia del sistema de gestión ambiental.</t>
  </si>
  <si>
    <t>Apoyando otros roles pertinentes de la dirección, para demoestrar su liderazgo en la forma en la que asplique a sus áreas de responsabilidad.</t>
  </si>
  <si>
    <t>5.2 Política ambiental</t>
  </si>
  <si>
    <t>Establecer, implementar y mantener una política ambiental que, dentro del alcance definido de sus sistema de gestión ambiental.</t>
  </si>
  <si>
    <t>Sea apropiada al propósito y contexto de la organización, incluida la naturaleza, magnitud e impactos ambientales de sus actividades, productos y servicios.</t>
  </si>
  <si>
    <t>Proporcione un marco de referencia para el establecimiento de los objetivos ambientales.</t>
  </si>
  <si>
    <t>Incluya un compromiso para la protección del medio ambiente, incluida la prevención de la contaminación, y otros compromisos específicos pertinentes al contexto de la organización.</t>
  </si>
  <si>
    <t>Incluya un compromiso de cumplor con los requisitos legales y otros requisitos.</t>
  </si>
  <si>
    <t>Mantenerse como información documentada.</t>
  </si>
  <si>
    <t>Comunicarse dentro de la organización.</t>
  </si>
  <si>
    <t>Estar disponible para las partes interesadas.</t>
  </si>
  <si>
    <t xml:space="preserve">Asegurarse de que las responsabilidades y autoridades para los roles pertinentes se asignen y comuniquen dentro de la organización </t>
  </si>
  <si>
    <t>Debe asignar la responsabilidad y autoridad para asegurarse de que el sistema de gestión ambiental es conforme con los requisitos de esta Norma internacional</t>
  </si>
  <si>
    <t>Debe asignar la responsabilidad y autoridad para informar a la alta dirección sobre el desempeño del sistema de gestión ambiental, inclyendo su desempeño ambiental.</t>
  </si>
  <si>
    <t>6.1.1 Generalidades</t>
  </si>
  <si>
    <t xml:space="preserve">La organización debe: </t>
  </si>
  <si>
    <t>Considerar las cuestiones referidas en 4,1 y los requisitos referidos en el 4.2, el alcance de su SGA</t>
  </si>
  <si>
    <t>Determinar los riesgos y oportunidades relacionados con sus aspectos ambientales</t>
  </si>
  <si>
    <t>Determinar los riesgos y oportunidades relacionados con sus requisitos legales y otros requisitos</t>
  </si>
  <si>
    <t>Determinar los riesgos y oportunidades relacionados con otras cuestiones y requisitos identificados en 4.1 y 4.2</t>
  </si>
  <si>
    <t>Que necesita abordarse para asegurar que el SGA pueda lograr sus resultados previstos.</t>
  </si>
  <si>
    <t>Que necesita abordarse para prevenir o reducir los efectos no deseados, incluida la posibilidad de que condiciones ambientales externas afecten a la organización</t>
  </si>
  <si>
    <t>Que necesita abordarse para lograr la mejora continua</t>
  </si>
  <si>
    <t>Dentro del alcance del SGA, la organización debe determinar las situaciones de emergencias potenciales, incluídas las que pueden tener un impacto ambiental.</t>
  </si>
  <si>
    <t>La organización debe mantener la información documentada de sus riesgos y oportunidades que es necesario abordar.</t>
  </si>
  <si>
    <t>Debe mantener información documentada de sus procesos necesarios especificados desde el apartado 6.1.1 al apartado 6.1.4 en la medida necesaria para tener confianza de que se llevan a cabo de la manera planificada.</t>
  </si>
  <si>
    <t>6.1.2 Aspectos ambientales</t>
  </si>
  <si>
    <t>Dentro del alcance definifo del SGA, determinar los aspectos ambientales de sus actividades, productos y servicios que puede controlar y de aquello en los que pueden influir, y sus impactos ambientales asociados, desde una perspectiva de ciclo de vida.</t>
  </si>
  <si>
    <t>Cuando se determinan los aspectos ambientales, se debe tener en cuenta los cambios, incluidos los desarrollos nuevos o planificados, y las actividades, productos y servicios nuevos o modificados.</t>
  </si>
  <si>
    <t>Cuando se determinan los aspectos ambientales, se debe tener en cuenta las condiciones anormales y las situaciones de mergencia razonablemente previsibles.</t>
  </si>
  <si>
    <t>Determinar aquellos aspectos que tengan o puedan tener un impacto ambiental significativo, es decir, los aspectos ambientales significativos, mediante el uso de criterios establecidos.</t>
  </si>
  <si>
    <t>Comunicar sus aspectos ambientales significativos entre loso diferentes niveles y funciones de la organización, según corresponda.</t>
  </si>
  <si>
    <t>Mantener información documentada de sus aspectos e impactos ambientales asociados.</t>
  </si>
  <si>
    <t>Mantener información documentada de sus criterios usados para determinar sus aspectos ambientales significativos</t>
  </si>
  <si>
    <t>Mantener información documentada de sus aspectos ambientales significativos.</t>
  </si>
  <si>
    <t>6.1.3 Requisitos legales y otros requisitos</t>
  </si>
  <si>
    <t>Determinar y tener acceso a los requisitos legales y otros requisitos relacionados con sus aspectos ambientales</t>
  </si>
  <si>
    <t>Determinar cómo estos requisitos legales y otros requisitos se aplican a la organización</t>
  </si>
  <si>
    <t>Tener en cuenta estos requisitos legales y otros requisitos cuando se establezca, implemente, mantenga y mejore continuamente su sistema de gestión ambiental.</t>
  </si>
  <si>
    <t>Mantener información documentada de sus requisitos legales y otros requisitos.</t>
  </si>
  <si>
    <t>6.1.4 Planificación de acciones</t>
  </si>
  <si>
    <t>La organización debe planificar:</t>
  </si>
  <si>
    <t>La toma de acciones para abordar sus aspectos ambientales significativos</t>
  </si>
  <si>
    <t>La toma de acciones para abordar sus requisitos legales y otros requisitos</t>
  </si>
  <si>
    <t>La toma de acciones para abordar sus riesgos y oportunidades identificados en el apartado 6.1.1</t>
  </si>
  <si>
    <t>La manera de integrar e implementar las acciones en los procesos de su SGA o en otros procesos de negocio</t>
  </si>
  <si>
    <t>La manera de evaluar la eficacia de estas acciones</t>
  </si>
  <si>
    <t>Cuando se planifiquen estas acciones, la organización debe considerar sus opciones tecnológicas y sus requisitos financieros, operacionales y de negocio.</t>
  </si>
  <si>
    <t>6.2 Objetivos ambientales y planificación para lograrlos</t>
  </si>
  <si>
    <t>6.2.1 Objetivos ambientales</t>
  </si>
  <si>
    <t>Establecer objetivos ambientales para las funciones y niveles pertinentes, teniendo en cuenta los aspectos ambientales significativos de la organización y sus requisitos legales y otros requisitos asociados, y considerando sus riesgos y oportunidades.</t>
  </si>
  <si>
    <t>Los objetivos ambientales deben ser coherentes con la política ambiental</t>
  </si>
  <si>
    <t>Los objetivos ambientales deben ser medibles (si es factible)</t>
  </si>
  <si>
    <t>Los objetivos ambientales deben ser objeto de seguimiento</t>
  </si>
  <si>
    <t>Los objetivos ambientales deben comunicarse</t>
  </si>
  <si>
    <t>Los objetivos ambientales deben actualizarse, según corresponda</t>
  </si>
  <si>
    <t>La organización debe conservar información documentada sobre los objetivos ambientales</t>
  </si>
  <si>
    <t>6.2.2 Planificación de acciones para lograr los objetivos ambientales</t>
  </si>
  <si>
    <t>Al planificar cómo lograr los objetivos ambientales, la organización debe determinar:</t>
  </si>
  <si>
    <t>Qué se va hacer</t>
  </si>
  <si>
    <t>Cuándo se finalizará</t>
  </si>
  <si>
    <t>Cómo se evaluarán los resultados, incluidos los indicadores de seguimiento de los avances para el logro de sus objetivos ambientales medibles</t>
  </si>
  <si>
    <t>La organización debe considerar cómo se pueden integrar las acciones para el logro de sus objetivos ambientales a los procesos de negocio de la organización.</t>
  </si>
  <si>
    <t>La organización debe determinar y proporcionar los recursos necesarios para el establecimiento, implementación, mantenimiento y mejora continua del SGA.</t>
  </si>
  <si>
    <t>Determinar la competencia necesaria de la(s) persona(s) que realiza(n) trabajos bajo su control, que afecte a su desempeño ambiental y su capacidad para cumplir sus requisitos legales y otros requisitos.</t>
  </si>
  <si>
    <t>Asegurarse de que estas personas sean competentes, con base en su educación, formación o experiencia apropiadas.</t>
  </si>
  <si>
    <t>Determinar las necesidades de formación asociados con sus aspectos ambientales y su sistema de gestión ambiental.</t>
  </si>
  <si>
    <t>Cuando sea aplicable, tomar acciones para adquirir la competencia necesaria y evaluar la eficacia de las acciones tomadas</t>
  </si>
  <si>
    <t>Conservar información documentada apropiada, como evidencia de la competencia.</t>
  </si>
  <si>
    <t>7.3 Toma de conciencia</t>
  </si>
  <si>
    <t>La organización debe asegurarse de que las personas que realicen el trabajo bajo el control de la organización tomen conciencia de:</t>
  </si>
  <si>
    <t>La política ambiental</t>
  </si>
  <si>
    <t>Los aspectos ambientales significativos y los impactos ambientales reales o potenciales relacionados, asociados con su trabajo.</t>
  </si>
  <si>
    <t>Su contribución a la eficacia del SGA, incluidos los beneficios de una mejora del desmpeño ambiental.</t>
  </si>
  <si>
    <t>Las implicancias de no satisfacer los requisitos del SGA, incluido el incumplimiento de los requisitos legales y otros requisitos de la organización.</t>
  </si>
  <si>
    <t>7.4.1 Generalidades</t>
  </si>
  <si>
    <t>La organización debe establecer. Implementar y mantener los procesos necesarios para las comunicaciones internas y externas pertinentes al SGA, que incluyan:</t>
  </si>
  <si>
    <t>Cuando establece sus procesos comunicación, la organización debe tener en cuenta sus requisitos legales y otros requisitos</t>
  </si>
  <si>
    <t>Asegurarse de que la información ambiental comunicada sea coherente con la información generada dentro del SGA y sea fiable.</t>
  </si>
  <si>
    <t>La organización debe responder a las comunicaciones pertinentes sobre su SGA</t>
  </si>
  <si>
    <t>La organización debe conservar información documentada como evidencia de sus comunicaciones, según corresponda.</t>
  </si>
  <si>
    <t>7.4.2 Comunicación interna</t>
  </si>
  <si>
    <t>Comunicar internamente la información pertinente del SGA entre los diversos niveles y funciones de la organización, incluidos los cambios en el SGA, según corresponda.</t>
  </si>
  <si>
    <t>Asegurarse de que sus procesos de comunicación permitan que las personas que realicen trabajos bajo el control de la organización contribuyan a la mejor continua</t>
  </si>
  <si>
    <t>7.4.3 Comunicación externa</t>
  </si>
  <si>
    <t>La organización debe comunicar externamente información pertinente al SGA, según se establezca en los procesos de comunicación de la organización y según lo requieran sus requisitos legales y otros requisitos.</t>
  </si>
  <si>
    <t>El SGA de la organización deben incluir:</t>
  </si>
  <si>
    <t>La información documentada requerida por esta Norma Internacional</t>
  </si>
  <si>
    <t>La información documentada que la organización detemrina como necesaria para la eficacia del SGA</t>
  </si>
  <si>
    <t>Al crear y actualizar la información documentada, la organización debe asegurarse de que lo siguiente sea apropiado:</t>
  </si>
  <si>
    <t>La identificación y descripción (por ejemplo, título, fecha, autor o número de referencia)</t>
  </si>
  <si>
    <t>El formato (por ejemplo, idioma, versión de software, gráficos) y los medios de soporte (por ejemplo, papel, electrónico)</t>
  </si>
  <si>
    <t>La revisión y aporbación con respecto a la conveniencia y adecuación</t>
  </si>
  <si>
    <t>La información documentada requerida por el SGA y por esta norma internacional debe controlar para asegurarse de que:</t>
  </si>
  <si>
    <t>Esté disponible y sea idónea para su uso, dónde y cuándo se necesite.</t>
  </si>
  <si>
    <t>La información documentada de origen externo que la organización determina como necesaria para la planificación y operación del SGA se debe determinar, según sea apropiado, y controlar.</t>
  </si>
  <si>
    <t>Establecer, implementar, controlar y mantener los procesos necesarios para satisfacer los requisitos del SGA y para implementar las acciones determinadas en los apartados 6.1 y 6.2 mediante:</t>
  </si>
  <si>
    <t>La implementación del control de los procesos de acuerdo con los criterios de operación.</t>
  </si>
  <si>
    <t>El establecimiento de criterios de operación para los procesos.</t>
  </si>
  <si>
    <t>La organización debe controlar los cambios planificados y examinar las consecuencias de los cambios no previstos, tomando acciones para mitigar los efectos adversos, cuando sea necesario.</t>
  </si>
  <si>
    <t>La organización debe asegurarse de que los procesos contratados externamente estén controlados o que se tenfa influencia sobre ellos. Dentro del SGA se debe definir el tipo y grado de control o influencia que se va a aplicar a estos procesos.</t>
  </si>
  <si>
    <t>En coherencia con la perspectiva del ciclo de vida, la organización debe:</t>
  </si>
  <si>
    <t>Establecer los controles, según corresponda, para asegurarse de que sus requisitos ambientales se aborden en el proceso de diseño y desarrollo del producto o servicio, considerando cada etapa de su ciclo de vida.</t>
  </si>
  <si>
    <t>Determinar sus requisitos ambientales para la compra de productos y servicios, según corresponda.</t>
  </si>
  <si>
    <t>Comunicar sus requisitos ambientales pertinentes a los proveedores externos, incluidos los contratistas.</t>
  </si>
  <si>
    <t>Considerar la necesidad de suministrar información acerca de los impactos ambientales potenciales significativos asociados con el transporte o la entrega, el uso, el tratamiento al fin de la vida útil y la disposición final de sus productos o servicios.</t>
  </si>
  <si>
    <t>La organización debe mantener la información documentada en la medida necesaria para tener la confianza en que los procesos se han llevado a cabo según lo planificado.</t>
  </si>
  <si>
    <t>8.2 Preparación y respuesta ante emergencias</t>
  </si>
  <si>
    <t xml:space="preserve">La organización debe </t>
  </si>
  <si>
    <t>Prepararse para responder, mediante la planificación de acciones para prevenir o mitigar los impactos ambientales adversos provocados por situaciones de emergencia</t>
  </si>
  <si>
    <t>Responder a situaciones de emergencia reales</t>
  </si>
  <si>
    <t>Tomar acciones para prevenir o mitigar las consecuencias de las situciones de emergencia, apropiadas a la magnitud de la emergencia y al impacto ambiental potencial</t>
  </si>
  <si>
    <t>Poner a prueba periódicamente las acciones de respuestas planificadas, cuando sea factible</t>
  </si>
  <si>
    <t>Evaluar y revisar periódicamente los procesos y las acciones de respuesta planificada, en particular, después de que hayan ocurrido situaciones de emergencia o de que se hayan realizado pruebas</t>
  </si>
  <si>
    <t>Proporcionar información y formación pertinentes, con relación a la preparación y respuesta ante emergencias, según corresponda, a las partes interesadas pertinentes, incluidas la spersonas que trabajn bajo su control</t>
  </si>
  <si>
    <t>Mantener información documentada en la medida necesaria para tener confianza en que los procesos se llevan a cabo de la manera planificada.</t>
  </si>
  <si>
    <t>9.1.1 Generalidades</t>
  </si>
  <si>
    <t>Los métodos de seguimiento, medición, análisis y evaluación, según corresponda, para assegurar resultados válidos</t>
  </si>
  <si>
    <t>Los criterios contra los cuales la organización evaluarpa su desempeño ambiental, y los indicadores apropiados</t>
  </si>
  <si>
    <t>Cuándo se deben llevar a cabo el seguimiento y la medición</t>
  </si>
  <si>
    <t>Cuándo se deben analizar y evaluar los resultados de seguimiento y medición</t>
  </si>
  <si>
    <t>La organización debe asegurarse de que se usan y mantienen equipos de seguimiento y medición calibrados o verificados, según corresponda.</t>
  </si>
  <si>
    <t>La organización debe evaluar su desempeño ambiental y la eficacia del SGA</t>
  </si>
  <si>
    <t>La organización debe comunicar externa e internamente la información pertinente a su desempeño ambiental, según esté identificado en sus procesos de comunicación y como se exija en sus requisitos legales y otros requisitos</t>
  </si>
  <si>
    <t>La organización debe conservar información documentada apropiada como evidencia de los resultados del seguimiento, la medición, el análisis y la evaluación.</t>
  </si>
  <si>
    <t>9.1.2 Evaluación del cumplimiento</t>
  </si>
  <si>
    <t>Determinar la frecuencia con la que se evaluará el cumplimiento</t>
  </si>
  <si>
    <t>Evaluar el cumplimiento y emprender las acciones que fueran necesarias</t>
  </si>
  <si>
    <t>Mantener el conocimiento y la comprensión de su estado de cumplimiento</t>
  </si>
  <si>
    <t>Conservar información documentada como evidencia de los resultados de la evaluación de cumplimiento.</t>
  </si>
  <si>
    <t>9.2.1 Generalidades</t>
  </si>
  <si>
    <t>La organización debe llevar a cabo auditorías internas a intervalos planificados para proporcionar información acerca de si el SGA es conforme con:</t>
  </si>
  <si>
    <t>Los requisitos propios de la organización para si SGA</t>
  </si>
  <si>
    <t>Los requisitos de esta norma internacional</t>
  </si>
  <si>
    <t>Se implementa y mantiene efizcamente</t>
  </si>
  <si>
    <t>9.2.2 Programa de auditoría interna</t>
  </si>
  <si>
    <t>Establecer, implementar y mantener uno o varios programas de auditoría interna que incluyan la frecuencia, los métodos, las responsabilidades, los requisitos de planificación y la elaboración de informes de sus auditorías internas.</t>
  </si>
  <si>
    <t>Cuando se establezca el programa de auditoría interna se debe tener en cuenta la importancia ambiental de los procesos involucrados, los cambios que afectan a la organización y los resultados de las auditorías previas.</t>
  </si>
  <si>
    <t>Definiri los criterios de auditoría y el alcance para cada auditoría</t>
  </si>
  <si>
    <t>Seleccionar los auditores y llevar a cabo auditorías para asegurarse de la objetividad y la imparcialidad del proceso de auditoría</t>
  </si>
  <si>
    <t>Asegurarse de que los resultados de las auditorías se informen a la dirección pertinente.</t>
  </si>
  <si>
    <t>Conservar información documentada como evidencia de la implementación del programa de auditoría y de los resultados de ésta</t>
  </si>
  <si>
    <t>Revisar el SGA de la organización a intervalos planificados, para asegurarse de su conveniencia, adecuación y eficacia continuas.</t>
  </si>
  <si>
    <t>Incluir el estado de las acciones de las revisiones por la dirección previas</t>
  </si>
  <si>
    <t>Incluir los cambios en las cuestiones internas y externas que sean pertinentes al SGA</t>
  </si>
  <si>
    <t>Incluir los cambios en las necesidade sy expectativas de las partes interesadas, incluidos los requisitos legales y otros requisitos</t>
  </si>
  <si>
    <t>Incluir los cambios en sus aspectos ambientales significativos</t>
  </si>
  <si>
    <t>Incluir los cambios los riesgos y oportunidades</t>
  </si>
  <si>
    <t>Incluir el grado en el que han logrado los objetivos ambientales</t>
  </si>
  <si>
    <t>Incluir la información sobre el desempeño ambiental de la organización, incluidas las tendencias relativas a no conformidades y acciones correctivas</t>
  </si>
  <si>
    <t>Incluir la información sobre el desempeño ambiental de la organización, incluidas las tendencias relativas a resultados de seguimiento y medición</t>
  </si>
  <si>
    <t>Incluir la información sobre el desempeño ambiental de la organización, incluidas las tendencias relativas a cumplimiento de requisitos legales y otros requisitos</t>
  </si>
  <si>
    <t>Incluir la información sobre el desempeño ambiental de la organización, incluidas las tendencias relativas a resultados de las auditorías</t>
  </si>
  <si>
    <t>Incluir la adecuación de los recursos</t>
  </si>
  <si>
    <t>Incluir las comunicaciones pertinentes de las partes interesadas, incluidas las quejas</t>
  </si>
  <si>
    <t>Incluir las oportunidades de mejora continua</t>
  </si>
  <si>
    <t>Las conclusiones sobre la conveniencia, adecuación y eficacia continuas del SGA</t>
  </si>
  <si>
    <t>Las decisiones relacionadas con las oportunidades de mejora continua</t>
  </si>
  <si>
    <t>Las decisiones relacionadas con cualquier necesidad de cambio en el SGA, incluidos los recursos</t>
  </si>
  <si>
    <t>Las acciones necesarias cuando no se hayan logrado los objetivos ambientales</t>
  </si>
  <si>
    <t>Las oportunidades de mejorar la integración del SGA a otros procesos de negocio, si fuera necesario</t>
  </si>
  <si>
    <t>Cualquier implicación para la dirección estratégica de la organización</t>
  </si>
  <si>
    <t>La organización debe conservar información documentada como evidencia de los resultados de las revisiones por la dirección</t>
  </si>
  <si>
    <t>La organización debe determinar las oportunidades de mejora e implementar las acciones necesarias para lograr los resultados previstos en su SGA</t>
  </si>
  <si>
    <t>Cuando ocurra una no conformidad, la organización debe:</t>
  </si>
  <si>
    <t>Las salidas de la revisión por la dirección deben incluir:</t>
  </si>
  <si>
    <t>Reaccionar ante la no conformidad, y cuando sea aplicable tomar acciones para controlarla y corregirla</t>
  </si>
  <si>
    <t>Reaccionar ante la no conformidad, y cuando sea aplicable hacer frente a las consecuencias, incluida la mitigación de los impactos ambientales adversos</t>
  </si>
  <si>
    <t>Mediante la revisión de la no conformidad</t>
  </si>
  <si>
    <t>La determinación de las causas de la no conformidad</t>
  </si>
  <si>
    <t>La determinación de si existen no conformidades similares, o que potencialmente puedan ocurrir</t>
  </si>
  <si>
    <t>Evaluar la necesidad de acciones para eliminar las causas de la no conformidad, con el fin de que no vuelva a ocurrir en ese mismo lugar ni ocurra en otra parte</t>
  </si>
  <si>
    <t>Implementar cualquier acción necesaria</t>
  </si>
  <si>
    <t>Revisar la eficacia de cualquier acción correctiva tomada</t>
  </si>
  <si>
    <t>Si fuera necesario, hacer cambios al SGA</t>
  </si>
  <si>
    <t>Las acciones correctivas deben ser apropiadas a la importancia de los efectos de las no conformidades encontradas, incluidos los aspectos ambientales</t>
  </si>
  <si>
    <t>Debe conservarse información documentada como evidencia de la naturaleza de las no conformidades y cualquier acción tomada posteriormente</t>
  </si>
  <si>
    <t>Debe conservarse información documentada como evidencia de los resultados de cualquier acción correctiva</t>
  </si>
  <si>
    <t>10.3 Mejora continua</t>
  </si>
  <si>
    <t>La organización debe mejorar continuamente la conveniencia, adecuación y eficacia del SGA para mejorar el desempeño ambiental</t>
  </si>
  <si>
    <t xml:space="preserve">Según el diagnóstico realizado y análisis de la situación actual de la empresa conforme a los requisitos de la norma ISO 14001:2015 se ha obtenido los siguientes resultados: La tabla "TOTAL DE IMPLEMENTACIÓN SGA" muestra que se ha obtenido un porcentaje de implementación de  </t>
  </si>
  <si>
    <t>Se realiza un análisis del contexto de la organización desde un punto de vista ambiental, de igual manera las partes interesadas incluidas sus necesidades y expectativas. Determinar el alcance del SGA, así como el sistema de gestión ambiental; es decir, los procesos que serán parte de nuestro SGA</t>
  </si>
  <si>
    <t xml:space="preserve">Se establece, al igual que en todas las normas ISO, la importancia del involucramiento de la alta dirección para garantizar una correcta implementación, mantenimiento y mejora del SGA; además el establecimiento de la política ambiental la cuál debe de cumplir ciertos lineamientos indicados. Por último, la alta dirección también debe de garantizar que se definan y asignen  los roles, responsabilidades y autoridades de la organización. </t>
  </si>
  <si>
    <t>6.2 Objetivos ambientales  y planificación para lograrlos</t>
  </si>
  <si>
    <t>Éste capítulo  hace referencia a la Planificación del SGA. La organización debe establecer que debe cumplir en relación a sus aspectos ambientales y requisitos legales, incluidos otros requisitos: así como los objetivos, metas y programas ambientales.</t>
  </si>
  <si>
    <t>Toda el capítulo aborda todo el apoyo que se necesita para cumplir con nuestros objetivos de SGA, incluida la competencia  que deben tener nuestros colaboradores, la toma de conciencia acerca del SGA, la comunicación tanto interna como externa y por supuesto el requisito de información documentada.</t>
  </si>
  <si>
    <t>Este capítulo describe los requisitos que la organización debe cumplir respecto al manejo de sus aspectos ambientales identificados en el capítulo 6, como determinar controles para la generación de residuos, emisiones, etc. También se contempla el tener un plan de respuestas ante posibles emergencia, es decir, se debe tener una correcta planificación además de realizar simulacros en periodos planificados.</t>
  </si>
  <si>
    <t>En este capítulo se define las actividades necesarias para verificar los resultados de nuestro SGA, estableciendo todo aquello que necesita ser medido como indicadores, evaluar el cumplimiento de nuestros requisitos legales, y dos métodos adicionales que sirven también para concoer el estado de nuestro SGA que es la auditoría interna y revisión por la dirección.</t>
  </si>
  <si>
    <t>Está relacionado con la mejora del propio sistema y del comportamiento ambiental. En base a los resultados de verificación y al desempeño de los procesos se deberán emprender las no conformidades y acciones correctivas oportunas.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</si>
</sst>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d/mm/yyyy;@"/>
  </numFmts>
  <fonts count="39" x14ac:knownFonts="1">
    <font>
      <sz val="11"/>
      <color theme="1"/>
      <name val="Calibri"/>
      <family val="2"/>
      <scheme val="minor"/>
    </font>
    <font>
      <sz val="11"/>
      <color theme="1"/>
      <name val="Calibri"/>
      <family val="2"/>
      <scheme val="minor"/>
    </font>
    <font>
      <b/>
      <sz val="15"/>
      <color theme="3"/>
      <name val="Calibri"/>
      <family val="2"/>
      <scheme val="minor"/>
    </font>
    <font>
      <b/>
      <sz val="13"/>
      <color theme="3"/>
      <name val="Calibri"/>
      <family val="2"/>
      <scheme val="minor"/>
    </font>
    <font>
      <sz val="11"/>
      <color rgb="FFFA7D00"/>
      <name val="Calibri"/>
      <family val="2"/>
      <scheme val="minor"/>
    </font>
    <font>
      <b/>
      <sz val="13"/>
      <color theme="3"/>
      <name val="Arial"/>
      <family val="2"/>
    </font>
    <font>
      <sz val="12"/>
      <color theme="1"/>
      <name val="Arial"/>
      <family val="2"/>
    </font>
    <font>
      <b/>
      <sz val="12"/>
      <color theme="1"/>
      <name val="Arial"/>
      <family val="2"/>
    </font>
    <font>
      <b/>
      <sz val="14"/>
      <name val="Arial"/>
      <family val="2"/>
    </font>
    <font>
      <b/>
      <sz val="16"/>
      <color theme="0"/>
      <name val="Arial"/>
      <family val="2"/>
    </font>
    <font>
      <sz val="12"/>
      <color rgb="FF000000"/>
      <name val="Arial"/>
      <family val="2"/>
    </font>
    <font>
      <b/>
      <sz val="10"/>
      <name val="Arial"/>
      <family val="2"/>
    </font>
    <font>
      <sz val="9"/>
      <name val="Arial"/>
      <family val="2"/>
    </font>
    <font>
      <b/>
      <sz val="11"/>
      <name val="Arial"/>
      <family val="2"/>
    </font>
    <font>
      <b/>
      <sz val="9"/>
      <name val="Arial"/>
      <family val="2"/>
    </font>
    <font>
      <sz val="10"/>
      <name val="Arial"/>
      <family val="2"/>
    </font>
    <font>
      <b/>
      <sz val="12"/>
      <color indexed="18"/>
      <name val="Arial"/>
      <family val="2"/>
    </font>
    <font>
      <sz val="7"/>
      <color theme="1"/>
      <name val="Arial"/>
      <family val="2"/>
    </font>
    <font>
      <sz val="12"/>
      <color theme="1"/>
      <name val="Times New Roman"/>
      <family val="1"/>
    </font>
    <font>
      <b/>
      <sz val="11"/>
      <color theme="0"/>
      <name val="Arial"/>
      <family val="2"/>
    </font>
    <font>
      <sz val="12"/>
      <name val="Arial"/>
      <family val="2"/>
    </font>
    <font>
      <b/>
      <sz val="11"/>
      <color theme="1"/>
      <name val="Calibri"/>
      <family val="2"/>
      <scheme val="minor"/>
    </font>
    <font>
      <b/>
      <sz val="15"/>
      <color theme="0"/>
      <name val="Arial"/>
      <family val="2"/>
    </font>
    <font>
      <b/>
      <sz val="22"/>
      <color theme="0"/>
      <name val="Arial"/>
      <family val="2"/>
    </font>
    <font>
      <b/>
      <sz val="12"/>
      <name val="Arial"/>
      <family val="2"/>
    </font>
    <font>
      <b/>
      <sz val="12"/>
      <color theme="0"/>
      <name val="Arial"/>
      <family val="2"/>
    </font>
    <font>
      <b/>
      <sz val="12"/>
      <color theme="0"/>
      <name val="Calibri"/>
      <family val="2"/>
      <scheme val="minor"/>
    </font>
    <font>
      <b/>
      <sz val="14"/>
      <color theme="0"/>
      <name val="Times New Roman"/>
      <family val="1"/>
    </font>
    <font>
      <b/>
      <sz val="16"/>
      <color theme="0"/>
      <name val="Times New Roman"/>
      <family val="1"/>
    </font>
    <font>
      <sz val="8"/>
      <color theme="1"/>
      <name val="Arial"/>
      <family val="2"/>
    </font>
    <font>
      <b/>
      <sz val="14"/>
      <color theme="0"/>
      <name val="Arial"/>
      <family val="2"/>
    </font>
    <font>
      <sz val="11"/>
      <color theme="1"/>
      <name val="Arial"/>
      <family val="2"/>
    </font>
    <font>
      <b/>
      <sz val="20"/>
      <color theme="0"/>
      <name val="Arial"/>
      <family val="2"/>
    </font>
    <font>
      <b/>
      <sz val="14"/>
      <color theme="1"/>
      <name val="Arial"/>
      <family val="2"/>
    </font>
    <font>
      <b/>
      <sz val="16"/>
      <color theme="1"/>
      <name val="Arial"/>
      <family val="2"/>
    </font>
    <font>
      <b/>
      <sz val="14"/>
      <color rgb="FF000000"/>
      <name val="Arial"/>
      <family val="2"/>
    </font>
    <font>
      <b/>
      <sz val="16"/>
      <color rgb="FF000000"/>
      <name val="Arial"/>
      <family val="2"/>
    </font>
    <font>
      <b/>
      <sz val="12"/>
      <color rgb="FF000000"/>
      <name val="Arial"/>
      <family val="2"/>
    </font>
    <font>
      <sz val="14"/>
      <color rgb="FF636C8B"/>
      <name val="Source Sans Pro"/>
      <family val="2"/>
    </font>
  </fonts>
  <fills count="8">
    <fill>
      <patternFill patternType="none"/>
    </fill>
    <fill>
      <patternFill patternType="gray125"/>
    </fill>
    <fill>
      <patternFill patternType="solid">
        <fgColor theme="4" tint="0.79998168889431442"/>
        <bgColor indexed="65"/>
      </patternFill>
    </fill>
    <fill>
      <patternFill patternType="solid">
        <fgColor theme="2" tint="0.59999389629810485"/>
        <bgColor indexed="64"/>
      </patternFill>
    </fill>
    <fill>
      <patternFill patternType="solid">
        <fgColor theme="0" tint="-0.499984740745262"/>
        <bgColor indexed="64"/>
      </patternFill>
    </fill>
    <fill>
      <patternFill patternType="solid">
        <fgColor rgb="FFA0A0A0"/>
        <bgColor indexed="64"/>
      </patternFill>
    </fill>
    <fill>
      <patternFill patternType="solid">
        <fgColor rgb="FFEEEEEE"/>
        <bgColor indexed="64"/>
      </patternFill>
    </fill>
    <fill>
      <patternFill patternType="solid">
        <fgColor theme="0"/>
        <bgColor indexed="64"/>
      </patternFill>
    </fill>
  </fills>
  <borders count="79">
    <border>
      <left/>
      <right/>
      <top/>
      <bottom/>
      <diagonal/>
    </border>
    <border>
      <left/>
      <right/>
      <top/>
      <bottom style="thick">
        <color theme="4"/>
      </bottom>
      <diagonal/>
    </border>
    <border>
      <left/>
      <right/>
      <top/>
      <bottom style="thick">
        <color theme="4" tint="0.499984740745262"/>
      </bottom>
      <diagonal/>
    </border>
    <border>
      <left/>
      <right/>
      <top/>
      <bottom style="double">
        <color rgb="FFFF8001"/>
      </bottom>
      <diagonal/>
    </border>
    <border>
      <left style="thin">
        <color theme="3" tint="0.39997558519241921"/>
      </left>
      <right style="thin">
        <color theme="3" tint="0.39997558519241921"/>
      </right>
      <top style="thin">
        <color theme="3" tint="0.39997558519241921"/>
      </top>
      <bottom style="thin">
        <color theme="3" tint="0.39997558519241921"/>
      </bottom>
      <diagonal/>
    </border>
    <border>
      <left style="thin">
        <color theme="3" tint="0.39997558519241921"/>
      </left>
      <right/>
      <top style="thin">
        <color theme="3" tint="0.39997558519241921"/>
      </top>
      <bottom style="thin">
        <color theme="3" tint="0.39997558519241921"/>
      </bottom>
      <diagonal/>
    </border>
    <border>
      <left/>
      <right style="thin">
        <color theme="3" tint="0.39997558519241921"/>
      </right>
      <top style="thin">
        <color theme="3" tint="0.39997558519241921"/>
      </top>
      <bottom style="thin">
        <color theme="3" tint="0.39997558519241921"/>
      </bottom>
      <diagonal/>
    </border>
    <border>
      <left/>
      <right/>
      <top style="thin">
        <color theme="3" tint="0.39997558519241921"/>
      </top>
      <bottom style="thin">
        <color theme="3" tint="0.39997558519241921"/>
      </bottom>
      <diagonal/>
    </border>
    <border>
      <left/>
      <right/>
      <top/>
      <bottom style="double">
        <color theme="1"/>
      </bottom>
      <diagonal/>
    </border>
    <border>
      <left style="thin">
        <color indexed="64"/>
      </left>
      <right/>
      <top style="thin">
        <color indexed="64"/>
      </top>
      <bottom style="thin">
        <color indexed="64"/>
      </bottom>
      <diagonal/>
    </border>
    <border>
      <left style="thin">
        <color theme="3" tint="0.39997558519241921"/>
      </left>
      <right style="thin">
        <color theme="3" tint="0.39997558519241921"/>
      </right>
      <top style="thin">
        <color theme="3" tint="0.39997558519241921"/>
      </top>
      <bottom/>
      <diagonal/>
    </border>
    <border>
      <left style="thin">
        <color theme="3" tint="0.39997558519241921"/>
      </left>
      <right style="thin">
        <color theme="3" tint="0.39997558519241921"/>
      </right>
      <top/>
      <bottom style="thin">
        <color theme="3" tint="0.3999755851924192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bottom style="thin">
        <color theme="3" tint="0.39997558519241921"/>
      </bottom>
      <diagonal/>
    </border>
    <border>
      <left style="medium">
        <color indexed="64"/>
      </left>
      <right/>
      <top style="thin">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style="medium">
        <color indexed="64"/>
      </left>
      <right style="thin">
        <color theme="4"/>
      </right>
      <top style="medium">
        <color indexed="64"/>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right style="medium">
        <color indexed="64"/>
      </right>
      <top/>
      <bottom style="thin">
        <color indexed="64"/>
      </bottom>
      <diagonal/>
    </border>
    <border>
      <left/>
      <right/>
      <top style="double">
        <color indexed="64"/>
      </top>
      <bottom/>
      <diagonal/>
    </border>
    <border>
      <left/>
      <right/>
      <top/>
      <bottom style="double">
        <color indexed="64"/>
      </bottom>
      <diagonal/>
    </border>
    <border>
      <left/>
      <right/>
      <top style="medium">
        <color indexed="64"/>
      </top>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diagonal/>
    </border>
    <border>
      <left style="medium">
        <color indexed="64"/>
      </left>
      <right style="medium">
        <color indexed="64"/>
      </right>
      <top style="thin">
        <color indexed="64"/>
      </top>
      <bottom style="medium">
        <color indexed="64"/>
      </bottom>
      <diagonal/>
    </border>
    <border>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right style="medium">
        <color indexed="64"/>
      </right>
      <top style="thin">
        <color indexed="64"/>
      </top>
      <bottom style="medium">
        <color indexed="64"/>
      </bottom>
      <diagonal/>
    </border>
    <border>
      <left style="thin">
        <color theme="0" tint="-0.14999847407452621"/>
      </left>
      <right style="thin">
        <color theme="3" tint="0.39997558519241921"/>
      </right>
      <top style="thin">
        <color theme="3" tint="0.39997558519241921"/>
      </top>
      <bottom/>
      <diagonal/>
    </border>
    <border>
      <left style="thin">
        <color theme="0" tint="-0.14999847407452621"/>
      </left>
      <right style="thin">
        <color theme="3" tint="0.39997558519241921"/>
      </right>
      <top style="thin">
        <color theme="3" tint="0.39997558519241921"/>
      </top>
      <bottom style="thin">
        <color theme="3" tint="0.39997558519241921"/>
      </bottom>
      <diagonal/>
    </border>
    <border>
      <left style="thin">
        <color theme="0" tint="-0.14999847407452621"/>
      </left>
      <right/>
      <top style="thin">
        <color theme="3" tint="0.39997558519241921"/>
      </top>
      <bottom style="thin">
        <color theme="3" tint="0.39997558519241921"/>
      </bottom>
      <diagonal/>
    </border>
    <border>
      <left style="thin">
        <color theme="0" tint="-0.14999847407452621"/>
      </left>
      <right style="thin">
        <color theme="3" tint="0.39997558519241921"/>
      </right>
      <top/>
      <bottom/>
      <diagonal/>
    </border>
    <border>
      <left style="medium">
        <color indexed="64"/>
      </left>
      <right style="thin">
        <color indexed="64"/>
      </right>
      <top style="thin">
        <color indexed="64"/>
      </top>
      <bottom/>
      <diagonal/>
    </border>
    <border>
      <left/>
      <right style="medium">
        <color indexed="64"/>
      </right>
      <top style="thin">
        <color indexed="64"/>
      </top>
      <bottom/>
      <diagonal/>
    </border>
    <border>
      <left style="thin">
        <color theme="3" tint="0.39997558519241921"/>
      </left>
      <right/>
      <top style="thin">
        <color theme="3" tint="0.39997558519241921"/>
      </top>
      <bottom style="thin">
        <color theme="1" tint="0.499984740745262"/>
      </bottom>
      <diagonal/>
    </border>
    <border>
      <left/>
      <right/>
      <top style="thin">
        <color theme="3" tint="0.39997558519241921"/>
      </top>
      <bottom style="thin">
        <color theme="1" tint="0.499984740745262"/>
      </bottom>
      <diagonal/>
    </border>
    <border>
      <left/>
      <right style="thin">
        <color theme="3" tint="0.39997558519241921"/>
      </right>
      <top style="thin">
        <color theme="3" tint="0.39997558519241921"/>
      </top>
      <bottom style="thin">
        <color theme="1" tint="0.499984740745262"/>
      </bottom>
      <diagonal/>
    </border>
    <border>
      <left style="thin">
        <color theme="3" tint="0.39997558519241921"/>
      </left>
      <right style="thin">
        <color theme="3" tint="0.39997558519241921"/>
      </right>
      <top/>
      <bottom/>
      <diagonal/>
    </border>
    <border>
      <left style="thin">
        <color theme="0" tint="-0.34998626667073579"/>
      </left>
      <right/>
      <top/>
      <bottom/>
      <diagonal/>
    </border>
    <border>
      <left style="thin">
        <color indexed="64"/>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theme="0" tint="-0.34998626667073579"/>
      </top>
      <bottom style="thin">
        <color theme="0" tint="-0.34998626667073579"/>
      </bottom>
      <diagonal/>
    </border>
    <border>
      <left style="thin">
        <color theme="0" tint="-0.34998626667073579"/>
      </left>
      <right style="thin">
        <color indexed="64"/>
      </right>
      <top style="thin">
        <color theme="0" tint="-0.34998626667073579"/>
      </top>
      <bottom style="thin">
        <color theme="0" tint="-0.34998626667073579"/>
      </bottom>
      <diagonal/>
    </border>
    <border>
      <left/>
      <right style="thin">
        <color theme="3" tint="0.39997558519241921"/>
      </right>
      <top style="thin">
        <color theme="3" tint="0.39997558519241921"/>
      </top>
      <bottom/>
      <diagonal/>
    </border>
    <border>
      <left style="thin">
        <color indexed="64"/>
      </left>
      <right/>
      <top style="thin">
        <color theme="3" tint="0.39997558519241921"/>
      </top>
      <bottom style="thin">
        <color theme="3" tint="0.39997558519241921"/>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39997558519241921"/>
      </left>
      <right style="thin">
        <color theme="0" tint="-0.34998626667073579"/>
      </right>
      <top style="thin">
        <color theme="3" tint="0.39997558519241921"/>
      </top>
      <bottom style="thin">
        <color theme="0" tint="-0.34998626667073579"/>
      </bottom>
      <diagonal/>
    </border>
    <border>
      <left style="thin">
        <color theme="3" tint="0.39997558519241921"/>
      </left>
      <right style="thin">
        <color theme="0" tint="-0.34998626667073579"/>
      </right>
      <top style="thin">
        <color theme="3" tint="0.39997558519241921"/>
      </top>
      <bottom style="thin">
        <color theme="3" tint="0.39997558519241921"/>
      </bottom>
      <diagonal/>
    </border>
    <border>
      <left/>
      <right style="thin">
        <color theme="0" tint="-0.34998626667073579"/>
      </right>
      <top style="thin">
        <color theme="3" tint="0.39997558519241921"/>
      </top>
      <bottom style="thin">
        <color theme="3" tint="0.39997558519241921"/>
      </bottom>
      <diagonal/>
    </border>
    <border>
      <left/>
      <right style="thin">
        <color theme="3" tint="0.39997558519241921"/>
      </right>
      <top/>
      <bottom style="thin">
        <color theme="3" tint="0.39997558519241921"/>
      </bottom>
      <diagonal/>
    </border>
  </borders>
  <cellStyleXfs count="6">
    <xf numFmtId="0" fontId="0" fillId="0" borderId="0"/>
    <xf numFmtId="0" fontId="2" fillId="0" borderId="1"/>
    <xf numFmtId="0" fontId="3" fillId="0" borderId="2"/>
    <xf numFmtId="0" fontId="4" fillId="0" borderId="3"/>
    <xf numFmtId="0" fontId="1" fillId="2" borderId="0"/>
    <xf numFmtId="9" fontId="1" fillId="0" borderId="0"/>
  </cellStyleXfs>
  <cellXfs count="337">
    <xf numFmtId="0" fontId="0" fillId="0" borderId="0" xfId="0"/>
    <xf numFmtId="0" fontId="0" fillId="0" borderId="0" xfId="0" applyAlignment="1">
      <alignment horizontal="center"/>
    </xf>
    <xf numFmtId="0" fontId="6" fillId="0" borderId="0" xfId="0" applyFont="1"/>
    <xf numFmtId="0" fontId="6" fillId="0" borderId="4" xfId="0" applyFont="1" applyBorder="1" applyAlignment="1">
      <alignment horizontal="center" vertical="center"/>
    </xf>
    <xf numFmtId="0" fontId="6" fillId="0" borderId="5" xfId="0" applyFont="1" applyBorder="1" applyAlignment="1">
      <alignment horizontal="center" vertical="center"/>
    </xf>
    <xf numFmtId="0" fontId="6" fillId="0" borderId="0" xfId="0" applyFont="1" applyAlignment="1">
      <alignment horizontal="center"/>
    </xf>
    <xf numFmtId="0" fontId="0" fillId="0" borderId="0" xfId="0" applyAlignment="1">
      <alignment wrapText="1"/>
    </xf>
    <xf numFmtId="0" fontId="6" fillId="0" borderId="4" xfId="0" applyFont="1" applyBorder="1" applyAlignment="1">
      <alignment horizontal="justify" vertical="center" wrapText="1"/>
    </xf>
    <xf numFmtId="0" fontId="6" fillId="0" borderId="4" xfId="0" applyFont="1" applyBorder="1" applyAlignment="1">
      <alignment horizontal="left" vertical="center" wrapText="1"/>
    </xf>
    <xf numFmtId="0" fontId="12" fillId="0" borderId="0" xfId="0" applyFont="1" applyProtection="1">
      <protection hidden="1"/>
    </xf>
    <xf numFmtId="3" fontId="0" fillId="0" borderId="0" xfId="0" applyNumberFormat="1" applyProtection="1">
      <protection hidden="1"/>
    </xf>
    <xf numFmtId="9" fontId="14" fillId="0" borderId="16" xfId="0" applyNumberFormat="1" applyFont="1" applyBorder="1" applyAlignment="1" applyProtection="1">
      <alignment horizontal="center"/>
      <protection hidden="1"/>
    </xf>
    <xf numFmtId="0" fontId="14" fillId="0" borderId="16" xfId="0" applyFont="1" applyBorder="1" applyAlignment="1" applyProtection="1">
      <alignment horizontal="center"/>
      <protection hidden="1"/>
    </xf>
    <xf numFmtId="0" fontId="11" fillId="0" borderId="16" xfId="0" applyFont="1" applyBorder="1" applyAlignment="1" applyProtection="1">
      <alignment horizontal="center"/>
      <protection hidden="1"/>
    </xf>
    <xf numFmtId="9" fontId="15" fillId="0" borderId="18" xfId="0" applyNumberFormat="1" applyFont="1" applyBorder="1" applyProtection="1">
      <protection hidden="1"/>
    </xf>
    <xf numFmtId="0" fontId="12" fillId="0" borderId="0" xfId="0" applyFont="1" applyAlignment="1" applyProtection="1">
      <alignment wrapText="1"/>
      <protection hidden="1"/>
    </xf>
    <xf numFmtId="1" fontId="15" fillId="0" borderId="19" xfId="0" applyNumberFormat="1" applyFont="1" applyBorder="1" applyProtection="1">
      <protection hidden="1"/>
    </xf>
    <xf numFmtId="9" fontId="15" fillId="0" borderId="20" xfId="0" applyNumberFormat="1" applyFont="1" applyBorder="1" applyProtection="1">
      <protection hidden="1"/>
    </xf>
    <xf numFmtId="1" fontId="15" fillId="0" borderId="0" xfId="0" applyNumberFormat="1" applyFont="1" applyProtection="1">
      <protection hidden="1"/>
    </xf>
    <xf numFmtId="3" fontId="15" fillId="0" borderId="0" xfId="0" applyNumberFormat="1" applyFont="1" applyProtection="1">
      <protection hidden="1"/>
    </xf>
    <xf numFmtId="0" fontId="14" fillId="0" borderId="0" xfId="0" applyFont="1" applyProtection="1">
      <protection hidden="1"/>
    </xf>
    <xf numFmtId="2" fontId="0" fillId="0" borderId="0" xfId="0" applyNumberFormat="1" applyProtection="1">
      <protection hidden="1"/>
    </xf>
    <xf numFmtId="9" fontId="15" fillId="0" borderId="0" xfId="0" applyNumberFormat="1" applyFont="1" applyProtection="1">
      <protection hidden="1"/>
    </xf>
    <xf numFmtId="0" fontId="16" fillId="0" borderId="0" xfId="0" applyFont="1" applyAlignment="1" applyProtection="1">
      <alignment horizontal="center"/>
      <protection hidden="1"/>
    </xf>
    <xf numFmtId="9" fontId="11" fillId="0" borderId="16" xfId="0" applyNumberFormat="1" applyFont="1" applyBorder="1" applyAlignment="1" applyProtection="1">
      <alignment horizontal="center"/>
      <protection hidden="1"/>
    </xf>
    <xf numFmtId="10" fontId="0" fillId="0" borderId="0" xfId="0" applyNumberFormat="1" applyProtection="1">
      <protection hidden="1"/>
    </xf>
    <xf numFmtId="1" fontId="15" fillId="0" borderId="27" xfId="0" applyNumberFormat="1" applyFont="1" applyBorder="1" applyProtection="1">
      <protection hidden="1"/>
    </xf>
    <xf numFmtId="9" fontId="15" fillId="0" borderId="28" xfId="0" applyNumberFormat="1" applyFont="1" applyBorder="1" applyProtection="1">
      <protection hidden="1"/>
    </xf>
    <xf numFmtId="1" fontId="15" fillId="0" borderId="29" xfId="0" applyNumberFormat="1" applyFont="1" applyBorder="1" applyProtection="1">
      <protection hidden="1"/>
    </xf>
    <xf numFmtId="1" fontId="15" fillId="0" borderId="28" xfId="0" applyNumberFormat="1" applyFont="1" applyBorder="1" applyProtection="1">
      <protection hidden="1"/>
    </xf>
    <xf numFmtId="9" fontId="0" fillId="0" borderId="0" xfId="5" applyFont="1" applyProtection="1">
      <protection hidden="1"/>
    </xf>
    <xf numFmtId="9" fontId="14" fillId="0" borderId="33" xfId="0" applyNumberFormat="1" applyFont="1" applyBorder="1" applyAlignment="1" applyProtection="1">
      <alignment horizontal="center"/>
      <protection hidden="1"/>
    </xf>
    <xf numFmtId="0" fontId="14" fillId="0" borderId="33" xfId="0" applyFont="1" applyBorder="1" applyAlignment="1" applyProtection="1">
      <alignment horizontal="center"/>
      <protection hidden="1"/>
    </xf>
    <xf numFmtId="0" fontId="6" fillId="0" borderId="4" xfId="0" applyFont="1" applyBorder="1" applyAlignment="1">
      <alignment horizontal="center" vertical="center" wrapText="1"/>
    </xf>
    <xf numFmtId="0" fontId="18" fillId="0" borderId="0" xfId="0" applyFont="1" applyProtection="1">
      <protection hidden="1"/>
    </xf>
    <xf numFmtId="9" fontId="0" fillId="0" borderId="0" xfId="0" applyNumberFormat="1" applyProtection="1">
      <protection hidden="1"/>
    </xf>
    <xf numFmtId="0" fontId="0" fillId="0" borderId="0" xfId="0" applyAlignment="1" applyProtection="1">
      <alignment wrapText="1"/>
      <protection hidden="1"/>
    </xf>
    <xf numFmtId="0" fontId="11" fillId="0" borderId="0" xfId="0" applyFont="1" applyAlignment="1" applyProtection="1">
      <alignment horizontal="center"/>
      <protection hidden="1"/>
    </xf>
    <xf numFmtId="0" fontId="0" fillId="0" borderId="0" xfId="0" applyProtection="1">
      <protection hidden="1"/>
    </xf>
    <xf numFmtId="165" fontId="11" fillId="0" borderId="0" xfId="0" applyNumberFormat="1" applyFont="1" applyProtection="1">
      <protection hidden="1"/>
    </xf>
    <xf numFmtId="164" fontId="0" fillId="0" borderId="0" xfId="5" applyNumberFormat="1" applyFont="1" applyProtection="1">
      <protection hidden="1"/>
    </xf>
    <xf numFmtId="9" fontId="7" fillId="6" borderId="7" xfId="4" applyNumberFormat="1" applyFont="1" applyFill="1" applyBorder="1" applyAlignment="1">
      <alignment horizontal="center" vertical="center" wrapText="1"/>
    </xf>
    <xf numFmtId="9" fontId="7" fillId="6" borderId="5" xfId="4" applyNumberFormat="1" applyFont="1" applyFill="1" applyBorder="1" applyAlignment="1">
      <alignment horizontal="center" vertical="center" wrapText="1"/>
    </xf>
    <xf numFmtId="9" fontId="7" fillId="6" borderId="4" xfId="4" applyNumberFormat="1" applyFont="1" applyFill="1" applyBorder="1" applyAlignment="1">
      <alignment horizontal="center" vertical="center" wrapText="1"/>
    </xf>
    <xf numFmtId="0" fontId="7" fillId="6" borderId="4" xfId="4" applyFont="1" applyFill="1" applyBorder="1" applyAlignment="1">
      <alignment horizontal="center" vertical="center" wrapText="1"/>
    </xf>
    <xf numFmtId="0" fontId="7" fillId="6" borderId="4" xfId="0" applyFont="1" applyFill="1" applyBorder="1" applyAlignment="1">
      <alignment horizontal="left" vertical="center" wrapText="1"/>
    </xf>
    <xf numFmtId="9" fontId="7" fillId="6" borderId="10" xfId="4" applyNumberFormat="1" applyFont="1" applyFill="1" applyBorder="1" applyAlignment="1">
      <alignment horizontal="center" vertical="center" wrapText="1"/>
    </xf>
    <xf numFmtId="0" fontId="7" fillId="6" borderId="10" xfId="4" applyFont="1" applyFill="1" applyBorder="1" applyAlignment="1">
      <alignment horizontal="center" vertical="center" wrapText="1"/>
    </xf>
    <xf numFmtId="9" fontId="7" fillId="6" borderId="11" xfId="4" applyNumberFormat="1" applyFont="1" applyFill="1" applyBorder="1" applyAlignment="1">
      <alignment horizontal="center" vertical="center" wrapText="1"/>
    </xf>
    <xf numFmtId="0" fontId="7" fillId="6" borderId="11" xfId="4" applyFont="1" applyFill="1" applyBorder="1" applyAlignment="1">
      <alignment horizontal="center" vertical="center" wrapText="1"/>
    </xf>
    <xf numFmtId="9" fontId="7" fillId="6" borderId="26" xfId="4" applyNumberFormat="1" applyFont="1" applyFill="1" applyBorder="1" applyAlignment="1">
      <alignment horizontal="center" vertical="center" wrapText="1"/>
    </xf>
    <xf numFmtId="9" fontId="7" fillId="3" borderId="18" xfId="4" applyNumberFormat="1" applyFont="1" applyFill="1" applyBorder="1" applyAlignment="1">
      <alignment horizontal="center" vertical="center"/>
    </xf>
    <xf numFmtId="0" fontId="6" fillId="3" borderId="39" xfId="4" applyFont="1" applyFill="1" applyBorder="1" applyAlignment="1">
      <alignment horizontal="center" vertical="center"/>
    </xf>
    <xf numFmtId="0" fontId="7" fillId="3" borderId="31" xfId="4" applyFont="1" applyFill="1" applyBorder="1" applyAlignment="1">
      <alignment horizontal="center" vertical="center"/>
    </xf>
    <xf numFmtId="0" fontId="6" fillId="3" borderId="42" xfId="4" applyFont="1" applyFill="1" applyBorder="1" applyAlignment="1">
      <alignment horizontal="center" vertical="center"/>
    </xf>
    <xf numFmtId="9" fontId="7" fillId="3" borderId="43" xfId="4" applyNumberFormat="1" applyFont="1" applyFill="1" applyBorder="1" applyAlignment="1">
      <alignment horizontal="center" vertical="center"/>
    </xf>
    <xf numFmtId="0" fontId="6" fillId="3" borderId="44" xfId="4" applyFont="1" applyFill="1" applyBorder="1" applyAlignment="1">
      <alignment horizontal="center" vertical="center"/>
    </xf>
    <xf numFmtId="0" fontId="5" fillId="3" borderId="23" xfId="2" applyFont="1" applyFill="1" applyBorder="1" applyAlignment="1">
      <alignment horizontal="center" vertical="center"/>
    </xf>
    <xf numFmtId="0" fontId="5" fillId="3" borderId="13" xfId="2" applyFont="1" applyFill="1" applyBorder="1" applyAlignment="1">
      <alignment horizontal="center" vertical="center"/>
    </xf>
    <xf numFmtId="0" fontId="6" fillId="0" borderId="0" xfId="3" applyFont="1" applyBorder="1" applyAlignment="1">
      <alignment horizontal="center"/>
    </xf>
    <xf numFmtId="0" fontId="6" fillId="0" borderId="45" xfId="0" applyFont="1" applyBorder="1" applyAlignment="1">
      <alignment horizontal="center"/>
    </xf>
    <xf numFmtId="0" fontId="6" fillId="0" borderId="46" xfId="3" applyFont="1" applyBorder="1" applyAlignment="1">
      <alignment horizontal="left"/>
    </xf>
    <xf numFmtId="0" fontId="6" fillId="0" borderId="46" xfId="3" applyFont="1" applyBorder="1" applyAlignment="1">
      <alignment horizontal="center"/>
    </xf>
    <xf numFmtId="0" fontId="0" fillId="0" borderId="0" xfId="0" applyAlignment="1" applyProtection="1">
      <alignment vertical="center"/>
      <protection hidden="1"/>
    </xf>
    <xf numFmtId="3" fontId="15" fillId="0" borderId="43" xfId="0" applyNumberFormat="1" applyFont="1" applyBorder="1" applyProtection="1">
      <protection hidden="1"/>
    </xf>
    <xf numFmtId="0" fontId="21" fillId="5" borderId="34" xfId="0" applyFont="1" applyFill="1" applyBorder="1" applyAlignment="1" applyProtection="1">
      <alignment horizontal="center" vertical="center"/>
      <protection hidden="1"/>
    </xf>
    <xf numFmtId="0" fontId="21" fillId="5" borderId="19" xfId="0" applyFont="1" applyFill="1" applyBorder="1" applyAlignment="1" applyProtection="1">
      <alignment horizontal="center" vertical="center" wrapText="1"/>
      <protection hidden="1"/>
    </xf>
    <xf numFmtId="10" fontId="0" fillId="0" borderId="48" xfId="0" applyNumberFormat="1" applyBorder="1" applyAlignment="1" applyProtection="1">
      <alignment horizontal="center"/>
      <protection hidden="1"/>
    </xf>
    <xf numFmtId="10" fontId="0" fillId="0" borderId="9" xfId="0" applyNumberFormat="1" applyBorder="1" applyAlignment="1" applyProtection="1">
      <alignment horizontal="center"/>
      <protection hidden="1"/>
    </xf>
    <xf numFmtId="10" fontId="0" fillId="0" borderId="49" xfId="0" applyNumberFormat="1" applyBorder="1" applyAlignment="1" applyProtection="1">
      <alignment horizontal="center"/>
      <protection hidden="1"/>
    </xf>
    <xf numFmtId="0" fontId="21" fillId="5" borderId="15" xfId="0" applyFont="1" applyFill="1" applyBorder="1" applyAlignment="1" applyProtection="1">
      <alignment horizontal="center" vertical="center"/>
      <protection hidden="1"/>
    </xf>
    <xf numFmtId="0" fontId="0" fillId="0" borderId="16" xfId="0" applyBorder="1" applyAlignment="1" applyProtection="1">
      <alignment horizontal="center"/>
      <protection hidden="1"/>
    </xf>
    <xf numFmtId="0" fontId="0" fillId="0" borderId="50" xfId="0" applyBorder="1" applyAlignment="1" applyProtection="1">
      <alignment horizontal="center"/>
      <protection hidden="1"/>
    </xf>
    <xf numFmtId="0" fontId="0" fillId="0" borderId="51" xfId="0" applyBorder="1" applyAlignment="1" applyProtection="1">
      <alignment horizontal="center"/>
      <protection hidden="1"/>
    </xf>
    <xf numFmtId="10" fontId="0" fillId="0" borderId="52" xfId="0" applyNumberFormat="1" applyBorder="1" applyAlignment="1" applyProtection="1">
      <alignment horizontal="center"/>
      <protection hidden="1"/>
    </xf>
    <xf numFmtId="0" fontId="26" fillId="5" borderId="19" xfId="0" applyFont="1" applyFill="1" applyBorder="1" applyProtection="1">
      <protection hidden="1"/>
    </xf>
    <xf numFmtId="165" fontId="24" fillId="6" borderId="47" xfId="0" applyNumberFormat="1" applyFont="1" applyFill="1" applyBorder="1" applyAlignment="1" applyProtection="1">
      <alignment horizontal="center" vertical="center"/>
      <protection hidden="1"/>
    </xf>
    <xf numFmtId="165" fontId="24" fillId="6" borderId="40" xfId="0" applyNumberFormat="1" applyFont="1" applyFill="1" applyBorder="1" applyAlignment="1" applyProtection="1">
      <alignment horizontal="center" vertical="center"/>
      <protection hidden="1"/>
    </xf>
    <xf numFmtId="0" fontId="12" fillId="0" borderId="53" xfId="0" applyFont="1" applyBorder="1" applyProtection="1">
      <protection hidden="1"/>
    </xf>
    <xf numFmtId="3" fontId="15" fillId="0" borderId="17" xfId="0" applyNumberFormat="1" applyFont="1" applyBorder="1" applyAlignment="1" applyProtection="1">
      <alignment horizontal="center"/>
      <protection hidden="1"/>
    </xf>
    <xf numFmtId="3" fontId="15" fillId="0" borderId="18" xfId="0" applyNumberFormat="1" applyFont="1" applyBorder="1" applyAlignment="1" applyProtection="1">
      <alignment horizontal="center"/>
      <protection hidden="1"/>
    </xf>
    <xf numFmtId="3" fontId="15" fillId="0" borderId="20" xfId="0" applyNumberFormat="1" applyFont="1" applyBorder="1" applyAlignment="1" applyProtection="1">
      <alignment horizontal="center"/>
      <protection hidden="1"/>
    </xf>
    <xf numFmtId="3" fontId="15" fillId="0" borderId="30" xfId="0" applyNumberFormat="1" applyFont="1" applyBorder="1" applyAlignment="1" applyProtection="1">
      <alignment horizontal="center"/>
      <protection hidden="1"/>
    </xf>
    <xf numFmtId="9" fontId="14" fillId="6" borderId="19" xfId="0" applyNumberFormat="1" applyFont="1" applyFill="1" applyBorder="1" applyAlignment="1" applyProtection="1">
      <alignment horizontal="center" vertical="center"/>
      <protection hidden="1"/>
    </xf>
    <xf numFmtId="9" fontId="14" fillId="6" borderId="16" xfId="0" applyNumberFormat="1" applyFont="1" applyFill="1" applyBorder="1" applyAlignment="1" applyProtection="1">
      <alignment horizontal="center" vertical="center"/>
      <protection hidden="1"/>
    </xf>
    <xf numFmtId="0" fontId="11" fillId="6" borderId="16" xfId="0" applyFont="1" applyFill="1" applyBorder="1" applyAlignment="1" applyProtection="1">
      <alignment horizontal="center" vertical="center"/>
      <protection hidden="1"/>
    </xf>
    <xf numFmtId="9" fontId="14" fillId="6" borderId="16" xfId="0" applyNumberFormat="1" applyFont="1" applyFill="1" applyBorder="1" applyAlignment="1" applyProtection="1">
      <alignment horizontal="center"/>
      <protection hidden="1"/>
    </xf>
    <xf numFmtId="0" fontId="14" fillId="6" borderId="16" xfId="0" applyFont="1" applyFill="1" applyBorder="1" applyAlignment="1" applyProtection="1">
      <alignment horizontal="center"/>
      <protection hidden="1"/>
    </xf>
    <xf numFmtId="0" fontId="11" fillId="6" borderId="16" xfId="0" applyFont="1" applyFill="1" applyBorder="1" applyAlignment="1" applyProtection="1">
      <alignment horizontal="center"/>
      <protection hidden="1"/>
    </xf>
    <xf numFmtId="1" fontId="15" fillId="6" borderId="19" xfId="0" applyNumberFormat="1" applyFont="1" applyFill="1" applyBorder="1" applyProtection="1">
      <protection hidden="1"/>
    </xf>
    <xf numFmtId="3" fontId="15" fillId="6" borderId="22" xfId="0" applyNumberFormat="1" applyFont="1" applyFill="1" applyBorder="1" applyAlignment="1" applyProtection="1">
      <alignment horizontal="center"/>
      <protection hidden="1"/>
    </xf>
    <xf numFmtId="3" fontId="0" fillId="6" borderId="22" xfId="0" applyNumberFormat="1" applyFill="1" applyBorder="1" applyAlignment="1" applyProtection="1">
      <alignment horizontal="center"/>
      <protection hidden="1"/>
    </xf>
    <xf numFmtId="1" fontId="15" fillId="6" borderId="22" xfId="0" applyNumberFormat="1" applyFont="1" applyFill="1" applyBorder="1" applyProtection="1">
      <protection hidden="1"/>
    </xf>
    <xf numFmtId="3" fontId="15" fillId="6" borderId="19" xfId="0" applyNumberFormat="1" applyFont="1" applyFill="1" applyBorder="1" applyAlignment="1" applyProtection="1">
      <alignment horizontal="center"/>
      <protection hidden="1"/>
    </xf>
    <xf numFmtId="3" fontId="0" fillId="6" borderId="19" xfId="0" applyNumberFormat="1" applyFill="1" applyBorder="1" applyAlignment="1" applyProtection="1">
      <alignment horizontal="center"/>
      <protection hidden="1"/>
    </xf>
    <xf numFmtId="10" fontId="0" fillId="0" borderId="19" xfId="0" applyNumberFormat="1" applyBorder="1" applyAlignment="1" applyProtection="1">
      <alignment horizontal="center"/>
      <protection hidden="1"/>
    </xf>
    <xf numFmtId="0" fontId="18" fillId="0" borderId="0" xfId="0" applyFont="1" applyAlignment="1" applyProtection="1">
      <alignment vertical="center" wrapText="1"/>
      <protection hidden="1"/>
    </xf>
    <xf numFmtId="0" fontId="28" fillId="7" borderId="0" xfId="0" applyFont="1" applyFill="1" applyProtection="1">
      <protection hidden="1"/>
    </xf>
    <xf numFmtId="9" fontId="13" fillId="6" borderId="14" xfId="0" applyNumberFormat="1" applyFont="1" applyFill="1" applyBorder="1" applyAlignment="1" applyProtection="1">
      <alignment horizontal="center"/>
      <protection hidden="1"/>
    </xf>
    <xf numFmtId="9" fontId="13" fillId="6" borderId="15" xfId="0" applyNumberFormat="1" applyFont="1" applyFill="1" applyBorder="1" applyAlignment="1" applyProtection="1">
      <alignment horizontal="center"/>
      <protection hidden="1"/>
    </xf>
    <xf numFmtId="9" fontId="15" fillId="0" borderId="28" xfId="0" applyNumberFormat="1" applyFont="1" applyBorder="1" applyAlignment="1" applyProtection="1">
      <alignment vertical="center" wrapText="1"/>
      <protection hidden="1"/>
    </xf>
    <xf numFmtId="1" fontId="15" fillId="0" borderId="27" xfId="0" applyNumberFormat="1" applyFont="1" applyBorder="1" applyAlignment="1" applyProtection="1">
      <alignment vertical="center" wrapText="1"/>
      <protection hidden="1"/>
    </xf>
    <xf numFmtId="3" fontId="15" fillId="6" borderId="22" xfId="0" applyNumberFormat="1" applyFont="1" applyFill="1" applyBorder="1" applyAlignment="1" applyProtection="1">
      <alignment horizontal="center" vertical="center"/>
      <protection hidden="1"/>
    </xf>
    <xf numFmtId="3" fontId="0" fillId="6" borderId="22" xfId="0" applyNumberFormat="1" applyFill="1" applyBorder="1" applyAlignment="1" applyProtection="1">
      <alignment horizontal="center" vertical="center"/>
      <protection hidden="1"/>
    </xf>
    <xf numFmtId="1" fontId="11" fillId="6" borderId="19" xfId="0" applyNumberFormat="1" applyFont="1" applyFill="1" applyBorder="1" applyProtection="1">
      <protection hidden="1"/>
    </xf>
    <xf numFmtId="3" fontId="15" fillId="0" borderId="35" xfId="0" applyNumberFormat="1" applyFont="1" applyBorder="1" applyAlignment="1" applyProtection="1">
      <alignment horizontal="center" vertical="center"/>
      <protection hidden="1"/>
    </xf>
    <xf numFmtId="3" fontId="15" fillId="0" borderId="37" xfId="0" applyNumberFormat="1" applyFont="1" applyBorder="1" applyAlignment="1" applyProtection="1">
      <alignment horizontal="center" vertical="center"/>
      <protection hidden="1"/>
    </xf>
    <xf numFmtId="3" fontId="15" fillId="0" borderId="54" xfId="0" applyNumberFormat="1" applyFont="1" applyBorder="1" applyAlignment="1" applyProtection="1">
      <alignment horizontal="center" vertical="center"/>
      <protection hidden="1"/>
    </xf>
    <xf numFmtId="3" fontId="15" fillId="0" borderId="50" xfId="0" applyNumberFormat="1" applyFont="1" applyBorder="1" applyAlignment="1" applyProtection="1">
      <alignment horizontal="center" vertical="center"/>
      <protection hidden="1"/>
    </xf>
    <xf numFmtId="3" fontId="15" fillId="0" borderId="30" xfId="0" applyNumberFormat="1" applyFont="1" applyBorder="1" applyAlignment="1" applyProtection="1">
      <alignment horizontal="center" vertical="center"/>
      <protection hidden="1"/>
    </xf>
    <xf numFmtId="3" fontId="15" fillId="0" borderId="18" xfId="0" applyNumberFormat="1" applyFont="1" applyBorder="1" applyAlignment="1" applyProtection="1">
      <alignment horizontal="center" vertical="center"/>
      <protection hidden="1"/>
    </xf>
    <xf numFmtId="0" fontId="29" fillId="6" borderId="34" xfId="4" applyFont="1" applyFill="1" applyBorder="1" applyAlignment="1">
      <alignment horizontal="center" vertical="center" wrapText="1"/>
    </xf>
    <xf numFmtId="0" fontId="29" fillId="6" borderId="19" xfId="4" applyFont="1" applyFill="1" applyBorder="1" applyAlignment="1">
      <alignment horizontal="center" vertical="center" wrapText="1"/>
    </xf>
    <xf numFmtId="0" fontId="29" fillId="6" borderId="13" xfId="4" applyFont="1" applyFill="1" applyBorder="1" applyAlignment="1">
      <alignment horizontal="center" vertical="center" wrapText="1"/>
    </xf>
    <xf numFmtId="3" fontId="15" fillId="0" borderId="36" xfId="0" applyNumberFormat="1" applyFont="1" applyBorder="1" applyAlignment="1" applyProtection="1">
      <alignment horizontal="center" vertical="center"/>
      <protection hidden="1"/>
    </xf>
    <xf numFmtId="3" fontId="15" fillId="0" borderId="39" xfId="0" applyNumberFormat="1" applyFont="1" applyBorder="1" applyAlignment="1" applyProtection="1">
      <alignment horizontal="center" vertical="center"/>
      <protection hidden="1"/>
    </xf>
    <xf numFmtId="0" fontId="18" fillId="0" borderId="0" xfId="0" applyFont="1" applyAlignment="1" applyProtection="1">
      <alignment vertical="top" wrapText="1"/>
      <protection hidden="1"/>
    </xf>
    <xf numFmtId="1" fontId="15" fillId="0" borderId="28" xfId="0" applyNumberFormat="1" applyFont="1" applyBorder="1" applyAlignment="1" applyProtection="1">
      <alignment vertical="center" wrapText="1"/>
      <protection hidden="1"/>
    </xf>
    <xf numFmtId="9" fontId="15" fillId="0" borderId="28" xfId="0" applyNumberFormat="1" applyFont="1" applyBorder="1" applyAlignment="1" applyProtection="1">
      <alignment vertical="center"/>
      <protection hidden="1"/>
    </xf>
    <xf numFmtId="1" fontId="15" fillId="0" borderId="27" xfId="0" applyNumberFormat="1" applyFont="1" applyBorder="1" applyAlignment="1" applyProtection="1">
      <alignment vertical="center"/>
      <protection hidden="1"/>
    </xf>
    <xf numFmtId="1" fontId="15" fillId="0" borderId="29" xfId="0" applyNumberFormat="1" applyFont="1" applyBorder="1" applyAlignment="1" applyProtection="1">
      <alignment vertical="center"/>
      <protection hidden="1"/>
    </xf>
    <xf numFmtId="0" fontId="0" fillId="0" borderId="53" xfId="0" applyBorder="1" applyProtection="1">
      <protection hidden="1"/>
    </xf>
    <xf numFmtId="0" fontId="6" fillId="0" borderId="0" xfId="0" applyFont="1" applyAlignment="1">
      <alignment vertical="top" wrapText="1"/>
    </xf>
    <xf numFmtId="0" fontId="17" fillId="6" borderId="23" xfId="4" applyFont="1" applyFill="1" applyBorder="1" applyAlignment="1">
      <alignment horizontal="left" vertical="center" wrapText="1"/>
    </xf>
    <xf numFmtId="0" fontId="17" fillId="6" borderId="24" xfId="4" applyFont="1" applyFill="1" applyBorder="1" applyAlignment="1">
      <alignment horizontal="left" vertical="center" wrapText="1"/>
    </xf>
    <xf numFmtId="0" fontId="17" fillId="6" borderId="24" xfId="4" applyFont="1" applyFill="1" applyBorder="1" applyAlignment="1">
      <alignment horizontal="center" vertical="center" wrapText="1"/>
    </xf>
    <xf numFmtId="0" fontId="17" fillId="6" borderId="25" xfId="4" applyFont="1" applyFill="1" applyBorder="1" applyAlignment="1">
      <alignment horizontal="center" vertical="center" wrapText="1"/>
    </xf>
    <xf numFmtId="3" fontId="15" fillId="6" borderId="30" xfId="0" applyNumberFormat="1" applyFont="1" applyFill="1" applyBorder="1" applyAlignment="1" applyProtection="1">
      <alignment horizontal="center"/>
      <protection hidden="1"/>
    </xf>
    <xf numFmtId="0" fontId="0" fillId="0" borderId="0" xfId="0" applyAlignment="1" applyProtection="1">
      <alignment vertical="top" wrapText="1"/>
      <protection hidden="1"/>
    </xf>
    <xf numFmtId="0" fontId="0" fillId="0" borderId="47" xfId="0" applyBorder="1" applyAlignment="1" applyProtection="1">
      <alignment vertical="top" wrapText="1"/>
      <protection hidden="1"/>
    </xf>
    <xf numFmtId="3" fontId="15" fillId="6" borderId="19" xfId="0" applyNumberFormat="1" applyFont="1" applyFill="1" applyBorder="1" applyAlignment="1" applyProtection="1">
      <alignment horizontal="center" vertical="center"/>
      <protection hidden="1"/>
    </xf>
    <xf numFmtId="3" fontId="0" fillId="6" borderId="19" xfId="0" applyNumberFormat="1" applyFill="1" applyBorder="1" applyAlignment="1" applyProtection="1">
      <alignment horizontal="center" vertical="center"/>
      <protection hidden="1"/>
    </xf>
    <xf numFmtId="0" fontId="7" fillId="6" borderId="11" xfId="0" applyFont="1" applyFill="1" applyBorder="1" applyAlignment="1">
      <alignment horizontal="left" vertical="center" wrapText="1"/>
    </xf>
    <xf numFmtId="0" fontId="20" fillId="0" borderId="4" xfId="0" applyFont="1" applyBorder="1" applyAlignment="1">
      <alignment horizontal="center" vertical="center"/>
    </xf>
    <xf numFmtId="0" fontId="6" fillId="0" borderId="6" xfId="0" applyFont="1" applyBorder="1" applyAlignment="1">
      <alignment horizontal="center" vertical="center"/>
    </xf>
    <xf numFmtId="9" fontId="7" fillId="6" borderId="4" xfId="4" applyNumberFormat="1" applyFont="1" applyFill="1" applyBorder="1" applyAlignment="1">
      <alignment horizontal="left" vertical="center" wrapText="1"/>
    </xf>
    <xf numFmtId="0" fontId="10" fillId="0" borderId="4" xfId="0" applyFont="1" applyBorder="1" applyAlignment="1">
      <alignment vertical="center" wrapText="1"/>
    </xf>
    <xf numFmtId="9" fontId="14" fillId="6" borderId="14" xfId="0" applyNumberFormat="1" applyFont="1" applyFill="1" applyBorder="1" applyAlignment="1" applyProtection="1">
      <alignment horizontal="center"/>
      <protection hidden="1"/>
    </xf>
    <xf numFmtId="0" fontId="11" fillId="6" borderId="15" xfId="0" applyFont="1" applyFill="1" applyBorder="1" applyAlignment="1" applyProtection="1">
      <alignment horizontal="center"/>
      <protection hidden="1"/>
    </xf>
    <xf numFmtId="3" fontId="15" fillId="0" borderId="43" xfId="0" applyNumberFormat="1" applyFont="1" applyBorder="1" applyAlignment="1" applyProtection="1">
      <alignment horizontal="center"/>
      <protection hidden="1"/>
    </xf>
    <xf numFmtId="9" fontId="14" fillId="6" borderId="19" xfId="0" applyNumberFormat="1" applyFont="1" applyFill="1" applyBorder="1" applyAlignment="1" applyProtection="1">
      <alignment horizontal="center"/>
      <protection hidden="1"/>
    </xf>
    <xf numFmtId="0" fontId="14" fillId="6" borderId="19" xfId="0" applyFont="1" applyFill="1" applyBorder="1" applyAlignment="1" applyProtection="1">
      <alignment horizontal="center"/>
      <protection hidden="1"/>
    </xf>
    <xf numFmtId="3" fontId="15" fillId="0" borderId="43" xfId="0" applyNumberFormat="1" applyFont="1" applyBorder="1" applyAlignment="1" applyProtection="1">
      <alignment horizontal="center" vertical="center"/>
      <protection hidden="1"/>
    </xf>
    <xf numFmtId="3" fontId="15" fillId="0" borderId="61" xfId="0" applyNumberFormat="1" applyFont="1" applyBorder="1" applyAlignment="1" applyProtection="1">
      <alignment horizontal="center" vertical="center"/>
      <protection hidden="1"/>
    </xf>
    <xf numFmtId="3" fontId="15" fillId="6" borderId="34" xfId="0" applyNumberFormat="1" applyFont="1" applyFill="1" applyBorder="1" applyAlignment="1" applyProtection="1">
      <alignment horizontal="center" vertical="center"/>
      <protection hidden="1"/>
    </xf>
    <xf numFmtId="3" fontId="15" fillId="6" borderId="12" xfId="0" applyNumberFormat="1" applyFont="1" applyFill="1" applyBorder="1" applyAlignment="1" applyProtection="1">
      <alignment horizontal="center" vertical="center"/>
      <protection hidden="1"/>
    </xf>
    <xf numFmtId="3" fontId="15" fillId="0" borderId="15" xfId="0" applyNumberFormat="1" applyFont="1" applyBorder="1" applyAlignment="1" applyProtection="1">
      <alignment horizontal="center" vertical="center"/>
      <protection hidden="1"/>
    </xf>
    <xf numFmtId="3" fontId="15" fillId="0" borderId="16" xfId="0" applyNumberFormat="1" applyFont="1" applyBorder="1" applyAlignment="1" applyProtection="1">
      <alignment horizontal="center" vertical="center"/>
      <protection hidden="1"/>
    </xf>
    <xf numFmtId="3" fontId="0" fillId="0" borderId="36" xfId="0" applyNumberFormat="1" applyBorder="1" applyAlignment="1" applyProtection="1">
      <alignment horizontal="center" vertical="center"/>
      <protection hidden="1"/>
    </xf>
    <xf numFmtId="3" fontId="0" fillId="0" borderId="39" xfId="0" applyNumberFormat="1" applyBorder="1" applyAlignment="1" applyProtection="1">
      <alignment horizontal="center" vertical="center"/>
      <protection hidden="1"/>
    </xf>
    <xf numFmtId="3" fontId="0" fillId="0" borderId="55" xfId="0" applyNumberFormat="1" applyBorder="1" applyAlignment="1" applyProtection="1">
      <alignment horizontal="center" vertical="center"/>
      <protection hidden="1"/>
    </xf>
    <xf numFmtId="3" fontId="0" fillId="0" borderId="16" xfId="0" applyNumberFormat="1" applyBorder="1" applyAlignment="1" applyProtection="1">
      <alignment horizontal="center" vertical="center"/>
      <protection hidden="1"/>
    </xf>
    <xf numFmtId="3" fontId="0" fillId="0" borderId="50" xfId="0" applyNumberFormat="1" applyBorder="1" applyAlignment="1" applyProtection="1">
      <alignment horizontal="center" vertical="center"/>
      <protection hidden="1"/>
    </xf>
    <xf numFmtId="3" fontId="15" fillId="0" borderId="35" xfId="0" applyNumberFormat="1" applyFont="1" applyBorder="1" applyAlignment="1" applyProtection="1">
      <alignment horizontal="center"/>
      <protection hidden="1"/>
    </xf>
    <xf numFmtId="3" fontId="15" fillId="0" borderId="37" xfId="0" applyNumberFormat="1" applyFont="1" applyBorder="1" applyAlignment="1" applyProtection="1">
      <alignment horizontal="center"/>
      <protection hidden="1"/>
    </xf>
    <xf numFmtId="3" fontId="15" fillId="0" borderId="51" xfId="0" applyNumberFormat="1" applyFont="1" applyBorder="1" applyAlignment="1" applyProtection="1">
      <alignment horizontal="center"/>
      <protection hidden="1"/>
    </xf>
    <xf numFmtId="3" fontId="0" fillId="6" borderId="42" xfId="0" applyNumberFormat="1" applyFill="1" applyBorder="1" applyAlignment="1" applyProtection="1">
      <alignment horizontal="center"/>
      <protection hidden="1"/>
    </xf>
    <xf numFmtId="0" fontId="14" fillId="6" borderId="15" xfId="0" applyFont="1" applyFill="1" applyBorder="1" applyAlignment="1" applyProtection="1">
      <alignment horizontal="center" vertical="center"/>
      <protection hidden="1"/>
    </xf>
    <xf numFmtId="3" fontId="15" fillId="0" borderId="36" xfId="0" applyNumberFormat="1" applyFont="1" applyBorder="1" applyAlignment="1" applyProtection="1">
      <alignment horizontal="center"/>
      <protection hidden="1"/>
    </xf>
    <xf numFmtId="3" fontId="15" fillId="0" borderId="39" xfId="0" applyNumberFormat="1" applyFont="1" applyBorder="1" applyAlignment="1" applyProtection="1">
      <alignment horizontal="center"/>
      <protection hidden="1"/>
    </xf>
    <xf numFmtId="3" fontId="15" fillId="0" borderId="55" xfId="0" applyNumberFormat="1" applyFont="1" applyBorder="1" applyAlignment="1" applyProtection="1">
      <alignment horizontal="center"/>
      <protection hidden="1"/>
    </xf>
    <xf numFmtId="3" fontId="15" fillId="6" borderId="48" xfId="0" applyNumberFormat="1" applyFont="1" applyFill="1" applyBorder="1" applyAlignment="1" applyProtection="1">
      <alignment horizontal="center"/>
      <protection hidden="1"/>
    </xf>
    <xf numFmtId="3" fontId="15" fillId="6" borderId="34" xfId="0" applyNumberFormat="1" applyFont="1" applyFill="1" applyBorder="1" applyAlignment="1" applyProtection="1">
      <alignment horizontal="center"/>
      <protection hidden="1"/>
    </xf>
    <xf numFmtId="3" fontId="15" fillId="0" borderId="15" xfId="0" applyNumberFormat="1" applyFont="1" applyBorder="1" applyAlignment="1" applyProtection="1">
      <alignment horizontal="center"/>
      <protection hidden="1"/>
    </xf>
    <xf numFmtId="3" fontId="0" fillId="0" borderId="36" xfId="0" applyNumberFormat="1" applyBorder="1" applyAlignment="1" applyProtection="1">
      <alignment horizontal="center"/>
      <protection hidden="1"/>
    </xf>
    <xf numFmtId="3" fontId="0" fillId="0" borderId="39" xfId="0" applyNumberFormat="1" applyBorder="1" applyAlignment="1" applyProtection="1">
      <alignment horizontal="center"/>
      <protection hidden="1"/>
    </xf>
    <xf numFmtId="3" fontId="0" fillId="0" borderId="55" xfId="0" applyNumberFormat="1" applyBorder="1" applyAlignment="1" applyProtection="1">
      <alignment horizontal="center"/>
      <protection hidden="1"/>
    </xf>
    <xf numFmtId="9" fontId="14" fillId="6" borderId="15" xfId="0" applyNumberFormat="1" applyFont="1" applyFill="1" applyBorder="1" applyAlignment="1" applyProtection="1">
      <alignment horizontal="center"/>
      <protection hidden="1"/>
    </xf>
    <xf numFmtId="3" fontId="0" fillId="0" borderId="19" xfId="0" applyNumberFormat="1" applyBorder="1" applyAlignment="1" applyProtection="1">
      <alignment horizontal="center"/>
      <protection hidden="1"/>
    </xf>
    <xf numFmtId="3" fontId="0" fillId="0" borderId="12" xfId="0" applyNumberFormat="1" applyBorder="1" applyAlignment="1" applyProtection="1">
      <alignment horizontal="center"/>
      <protection hidden="1"/>
    </xf>
    <xf numFmtId="0" fontId="15" fillId="0" borderId="19" xfId="0" applyFont="1" applyBorder="1" applyProtection="1">
      <protection hidden="1"/>
    </xf>
    <xf numFmtId="9" fontId="7" fillId="3" borderId="60" xfId="4" applyNumberFormat="1" applyFont="1" applyFill="1" applyBorder="1" applyAlignment="1">
      <alignment horizontal="center" vertical="center"/>
    </xf>
    <xf numFmtId="0" fontId="0" fillId="0" borderId="47" xfId="0" applyBorder="1"/>
    <xf numFmtId="0" fontId="6" fillId="3" borderId="21" xfId="4" applyFont="1" applyFill="1" applyBorder="1" applyAlignment="1">
      <alignment horizontal="center" vertical="center"/>
    </xf>
    <xf numFmtId="0" fontId="6" fillId="0" borderId="0" xfId="0" applyFont="1" applyAlignment="1">
      <alignment vertical="center"/>
    </xf>
    <xf numFmtId="0" fontId="6" fillId="0" borderId="0" xfId="3" applyFont="1" applyBorder="1" applyAlignment="1">
      <alignment horizontal="left" vertical="center"/>
    </xf>
    <xf numFmtId="0" fontId="6" fillId="0" borderId="45" xfId="0" applyFont="1" applyBorder="1" applyAlignment="1">
      <alignment vertical="center"/>
    </xf>
    <xf numFmtId="0" fontId="6" fillId="0" borderId="46" xfId="3" applyFont="1" applyBorder="1" applyAlignment="1">
      <alignment horizontal="left" vertical="center"/>
    </xf>
    <xf numFmtId="0" fontId="6" fillId="0" borderId="0" xfId="0" applyFont="1" applyAlignment="1">
      <alignment horizontal="left" vertical="center"/>
    </xf>
    <xf numFmtId="0" fontId="7" fillId="6" borderId="10" xfId="0" applyFont="1" applyFill="1" applyBorder="1" applyAlignment="1">
      <alignment horizontal="justify" vertical="center" wrapText="1"/>
    </xf>
    <xf numFmtId="0" fontId="6" fillId="0" borderId="56" xfId="0" applyFont="1" applyBorder="1" applyAlignment="1">
      <alignment vertical="center" wrapText="1"/>
    </xf>
    <xf numFmtId="0" fontId="10" fillId="0" borderId="57" xfId="0" applyFont="1" applyBorder="1" applyAlignment="1">
      <alignment vertical="center" wrapText="1"/>
    </xf>
    <xf numFmtId="0" fontId="10" fillId="0" borderId="58" xfId="0" applyFont="1" applyBorder="1" applyAlignment="1">
      <alignment vertical="center" wrapText="1"/>
    </xf>
    <xf numFmtId="0" fontId="10" fillId="0" borderId="56" xfId="0" applyFont="1" applyBorder="1" applyAlignment="1">
      <alignment vertical="center" wrapText="1"/>
    </xf>
    <xf numFmtId="0" fontId="10" fillId="0" borderId="59" xfId="0" applyFont="1" applyBorder="1" applyAlignment="1">
      <alignment vertical="center" wrapText="1"/>
    </xf>
    <xf numFmtId="0" fontId="7" fillId="6" borderId="5" xfId="0" applyFont="1" applyFill="1" applyBorder="1" applyAlignment="1">
      <alignment vertical="center" wrapText="1"/>
    </xf>
    <xf numFmtId="0" fontId="6" fillId="0" borderId="11" xfId="0" applyFont="1" applyBorder="1" applyAlignment="1">
      <alignment horizontal="center" vertical="center"/>
    </xf>
    <xf numFmtId="0" fontId="6" fillId="0" borderId="26" xfId="0" applyFont="1" applyBorder="1" applyAlignment="1">
      <alignment horizontal="center" vertical="center"/>
    </xf>
    <xf numFmtId="9" fontId="34" fillId="6" borderId="5" xfId="4" applyNumberFormat="1" applyFont="1" applyFill="1" applyBorder="1" applyAlignment="1">
      <alignment vertical="center" wrapText="1"/>
    </xf>
    <xf numFmtId="0" fontId="33" fillId="6" borderId="4" xfId="0" applyFont="1" applyFill="1" applyBorder="1" applyAlignment="1">
      <alignment horizontal="justify" vertical="center" wrapText="1"/>
    </xf>
    <xf numFmtId="0" fontId="35" fillId="6" borderId="4" xfId="0" applyFont="1" applyFill="1" applyBorder="1" applyAlignment="1">
      <alignment vertical="center" wrapText="1"/>
    </xf>
    <xf numFmtId="0" fontId="6" fillId="0" borderId="5" xfId="0" applyFont="1" applyBorder="1" applyAlignment="1">
      <alignment horizontal="justify" vertical="center" wrapText="1"/>
    </xf>
    <xf numFmtId="0" fontId="7" fillId="6" borderId="4" xfId="0" applyFont="1" applyFill="1" applyBorder="1" applyAlignment="1">
      <alignment horizontal="justify" vertical="center" wrapText="1"/>
    </xf>
    <xf numFmtId="0" fontId="7" fillId="6" borderId="65" xfId="0" applyFont="1" applyFill="1" applyBorder="1" applyAlignment="1">
      <alignment horizontal="justify" vertical="center" wrapText="1"/>
    </xf>
    <xf numFmtId="0" fontId="6" fillId="0" borderId="66" xfId="0" applyFont="1" applyBorder="1"/>
    <xf numFmtId="0" fontId="37" fillId="6" borderId="4" xfId="0" applyFont="1" applyFill="1" applyBorder="1" applyAlignment="1">
      <alignment vertical="center" wrapText="1"/>
    </xf>
    <xf numFmtId="0" fontId="6" fillId="0" borderId="70" xfId="0" applyFont="1" applyBorder="1" applyAlignment="1">
      <alignment horizontal="center" vertical="center"/>
    </xf>
    <xf numFmtId="0" fontId="6" fillId="0" borderId="10" xfId="0" applyFont="1" applyBorder="1" applyAlignment="1">
      <alignment horizontal="center" vertical="center"/>
    </xf>
    <xf numFmtId="0" fontId="37" fillId="6" borderId="11" xfId="0" applyFont="1" applyFill="1" applyBorder="1" applyAlignment="1">
      <alignment vertical="center" wrapText="1"/>
    </xf>
    <xf numFmtId="9" fontId="34" fillId="6" borderId="76" xfId="4" applyNumberFormat="1" applyFont="1" applyFill="1" applyBorder="1" applyAlignment="1">
      <alignment vertical="center" wrapText="1"/>
    </xf>
    <xf numFmtId="0" fontId="10" fillId="0" borderId="75" xfId="0" applyFont="1" applyBorder="1" applyAlignment="1">
      <alignment vertical="center" wrapText="1"/>
    </xf>
    <xf numFmtId="9" fontId="7" fillId="6" borderId="78" xfId="4" applyNumberFormat="1" applyFont="1" applyFill="1" applyBorder="1" applyAlignment="1">
      <alignment horizontal="center" vertical="center" wrapText="1"/>
    </xf>
    <xf numFmtId="9" fontId="7" fillId="6" borderId="77" xfId="4" applyNumberFormat="1" applyFont="1" applyFill="1" applyBorder="1" applyAlignment="1">
      <alignment horizontal="center" vertical="center" wrapText="1"/>
    </xf>
    <xf numFmtId="0" fontId="38" fillId="0" borderId="0" xfId="0" applyFont="1"/>
    <xf numFmtId="0" fontId="22" fillId="4" borderId="41" xfId="1" applyFont="1" applyFill="1" applyBorder="1" applyAlignment="1">
      <alignment horizontal="center" vertical="center"/>
    </xf>
    <xf numFmtId="0" fontId="0" fillId="0" borderId="13" xfId="0" applyBorder="1"/>
    <xf numFmtId="0" fontId="35" fillId="6" borderId="69" xfId="0" applyFont="1" applyFill="1" applyBorder="1" applyAlignment="1">
      <alignment horizontal="left" vertical="center" wrapText="1"/>
    </xf>
    <xf numFmtId="0" fontId="35" fillId="6" borderId="68" xfId="0" applyFont="1" applyFill="1" applyBorder="1" applyAlignment="1">
      <alignment horizontal="left" vertical="center" wrapText="1"/>
    </xf>
    <xf numFmtId="0" fontId="35" fillId="6" borderId="67" xfId="0" applyFont="1" applyFill="1" applyBorder="1" applyAlignment="1">
      <alignment horizontal="left" vertical="center" wrapText="1"/>
    </xf>
    <xf numFmtId="9" fontId="32" fillId="5" borderId="71" xfId="4" applyNumberFormat="1" applyFont="1" applyFill="1" applyBorder="1" applyAlignment="1">
      <alignment horizontal="left" vertical="top" wrapText="1"/>
    </xf>
    <xf numFmtId="9" fontId="32" fillId="5" borderId="7" xfId="4" applyNumberFormat="1" applyFont="1" applyFill="1" applyBorder="1" applyAlignment="1">
      <alignment horizontal="left" vertical="top" wrapText="1"/>
    </xf>
    <xf numFmtId="9" fontId="32" fillId="5" borderId="77" xfId="4" applyNumberFormat="1" applyFont="1" applyFill="1" applyBorder="1" applyAlignment="1">
      <alignment horizontal="left" vertical="top" wrapText="1"/>
    </xf>
    <xf numFmtId="9" fontId="32" fillId="5" borderId="4" xfId="4" applyNumberFormat="1" applyFont="1" applyFill="1" applyBorder="1" applyAlignment="1">
      <alignment horizontal="left" vertical="center" wrapText="1"/>
    </xf>
    <xf numFmtId="9" fontId="34" fillId="6" borderId="10" xfId="4" applyNumberFormat="1" applyFont="1" applyFill="1" applyBorder="1" applyAlignment="1">
      <alignment horizontal="left" vertical="center" wrapText="1"/>
    </xf>
    <xf numFmtId="9" fontId="34" fillId="6" borderId="5" xfId="4" applyNumberFormat="1" applyFont="1" applyFill="1" applyBorder="1" applyAlignment="1">
      <alignment horizontal="left" vertical="center" wrapText="1"/>
    </xf>
    <xf numFmtId="9" fontId="34" fillId="6" borderId="7" xfId="4" applyNumberFormat="1" applyFont="1" applyFill="1" applyBorder="1" applyAlignment="1">
      <alignment horizontal="left" vertical="center" wrapText="1"/>
    </xf>
    <xf numFmtId="9" fontId="34" fillId="6" borderId="6" xfId="4" applyNumberFormat="1" applyFont="1" applyFill="1" applyBorder="1" applyAlignment="1">
      <alignment horizontal="left" vertical="center" wrapText="1"/>
    </xf>
    <xf numFmtId="0" fontId="33" fillId="6" borderId="5" xfId="0" applyFont="1" applyFill="1" applyBorder="1" applyAlignment="1">
      <alignment horizontal="left" vertical="center" wrapText="1"/>
    </xf>
    <xf numFmtId="0" fontId="33" fillId="6" borderId="7" xfId="0" applyFont="1" applyFill="1" applyBorder="1" applyAlignment="1">
      <alignment horizontal="left" vertical="center" wrapText="1"/>
    </xf>
    <xf numFmtId="9" fontId="34" fillId="6" borderId="58" xfId="4" applyNumberFormat="1" applyFont="1" applyFill="1" applyBorder="1" applyAlignment="1">
      <alignment horizontal="left" vertical="center" wrapText="1"/>
    </xf>
    <xf numFmtId="9" fontId="32" fillId="5" borderId="5" xfId="4" applyNumberFormat="1" applyFont="1" applyFill="1" applyBorder="1" applyAlignment="1">
      <alignment horizontal="left" vertical="center" wrapText="1"/>
    </xf>
    <xf numFmtId="9" fontId="32" fillId="5" borderId="7" xfId="4" applyNumberFormat="1" applyFont="1" applyFill="1" applyBorder="1" applyAlignment="1">
      <alignment horizontal="left" vertical="center" wrapText="1"/>
    </xf>
    <xf numFmtId="9" fontId="32" fillId="5" borderId="6" xfId="4" applyNumberFormat="1" applyFont="1" applyFill="1" applyBorder="1" applyAlignment="1">
      <alignment horizontal="left" vertical="center" wrapText="1"/>
    </xf>
    <xf numFmtId="0" fontId="33" fillId="6" borderId="6" xfId="0" applyFont="1" applyFill="1" applyBorder="1" applyAlignment="1">
      <alignment horizontal="left" vertical="center" wrapText="1"/>
    </xf>
    <xf numFmtId="0" fontId="36" fillId="6" borderId="72" xfId="0" applyFont="1" applyFill="1" applyBorder="1" applyAlignment="1">
      <alignment horizontal="left" vertical="center" wrapText="1"/>
    </xf>
    <xf numFmtId="0" fontId="36" fillId="6" borderId="73" xfId="0" applyFont="1" applyFill="1" applyBorder="1" applyAlignment="1">
      <alignment horizontal="left" vertical="center" wrapText="1"/>
    </xf>
    <xf numFmtId="0" fontId="36" fillId="6" borderId="74" xfId="0" applyFont="1" applyFill="1" applyBorder="1" applyAlignment="1">
      <alignment horizontal="left" vertical="center" wrapText="1"/>
    </xf>
    <xf numFmtId="0" fontId="8" fillId="5" borderId="8" xfId="3" applyFont="1" applyFill="1" applyBorder="1" applyAlignment="1">
      <alignment horizontal="center" vertical="center"/>
    </xf>
    <xf numFmtId="0" fontId="0" fillId="5" borderId="8" xfId="0" applyFill="1" applyBorder="1"/>
    <xf numFmtId="9" fontId="34" fillId="6" borderId="62" xfId="4" applyNumberFormat="1" applyFont="1" applyFill="1" applyBorder="1" applyAlignment="1">
      <alignment horizontal="left" vertical="center" wrapText="1"/>
    </xf>
    <xf numFmtId="9" fontId="34" fillId="6" borderId="63" xfId="4" applyNumberFormat="1" applyFont="1" applyFill="1" applyBorder="1" applyAlignment="1">
      <alignment horizontal="left" vertical="center" wrapText="1"/>
    </xf>
    <xf numFmtId="9" fontId="34" fillId="6" borderId="64" xfId="4" applyNumberFormat="1" applyFont="1" applyFill="1" applyBorder="1" applyAlignment="1">
      <alignment horizontal="left" vertical="center" wrapText="1"/>
    </xf>
    <xf numFmtId="0" fontId="6" fillId="0" borderId="0" xfId="0" applyFont="1" applyAlignment="1">
      <alignment horizontal="left" vertical="center" wrapText="1"/>
    </xf>
    <xf numFmtId="0" fontId="6" fillId="0" borderId="26" xfId="0" applyFont="1" applyBorder="1" applyAlignment="1">
      <alignment horizontal="left" vertical="center" wrapText="1"/>
    </xf>
    <xf numFmtId="9" fontId="19" fillId="4" borderId="19" xfId="0" applyNumberFormat="1" applyFont="1" applyFill="1" applyBorder="1" applyAlignment="1" applyProtection="1">
      <alignment horizontal="center"/>
      <protection hidden="1"/>
    </xf>
    <xf numFmtId="0" fontId="0" fillId="0" borderId="12" xfId="0" applyBorder="1"/>
    <xf numFmtId="9" fontId="13" fillId="5" borderId="19" xfId="0" applyNumberFormat="1" applyFont="1" applyFill="1" applyBorder="1" applyAlignment="1" applyProtection="1">
      <alignment horizontal="center"/>
      <protection hidden="1"/>
    </xf>
    <xf numFmtId="0" fontId="0" fillId="5" borderId="12" xfId="0" applyFill="1" applyBorder="1"/>
    <xf numFmtId="0" fontId="0" fillId="5" borderId="13" xfId="0" applyFill="1" applyBorder="1"/>
    <xf numFmtId="1" fontId="11" fillId="6" borderId="19" xfId="0" applyNumberFormat="1" applyFont="1" applyFill="1" applyBorder="1" applyAlignment="1" applyProtection="1">
      <alignment horizontal="center"/>
      <protection hidden="1"/>
    </xf>
    <xf numFmtId="0" fontId="0" fillId="6" borderId="12" xfId="0" applyFill="1" applyBorder="1"/>
    <xf numFmtId="0" fontId="0" fillId="6" borderId="13" xfId="0" applyFill="1" applyBorder="1"/>
    <xf numFmtId="0" fontId="0" fillId="5" borderId="47" xfId="0" applyFill="1" applyBorder="1"/>
    <xf numFmtId="0" fontId="23" fillId="5" borderId="14" xfId="0" applyFont="1" applyFill="1" applyBorder="1" applyAlignment="1" applyProtection="1">
      <alignment horizontal="center" vertical="center" wrapText="1"/>
      <protection hidden="1"/>
    </xf>
    <xf numFmtId="0" fontId="23" fillId="5" borderId="47" xfId="0" applyFont="1" applyFill="1" applyBorder="1" applyAlignment="1" applyProtection="1">
      <alignment horizontal="center" vertical="center" wrapText="1"/>
      <protection hidden="1"/>
    </xf>
    <xf numFmtId="0" fontId="23" fillId="5" borderId="15" xfId="0" applyFont="1" applyFill="1" applyBorder="1" applyAlignment="1" applyProtection="1">
      <alignment horizontal="center" vertical="center" wrapText="1"/>
      <protection hidden="1"/>
    </xf>
    <xf numFmtId="0" fontId="23" fillId="5" borderId="38" xfId="0" applyFont="1" applyFill="1" applyBorder="1" applyAlignment="1" applyProtection="1">
      <alignment horizontal="center" vertical="center" wrapText="1"/>
      <protection hidden="1"/>
    </xf>
    <xf numFmtId="0" fontId="23" fillId="5" borderId="40" xfId="0" applyFont="1" applyFill="1" applyBorder="1" applyAlignment="1" applyProtection="1">
      <alignment horizontal="center" vertical="center" wrapText="1"/>
      <protection hidden="1"/>
    </xf>
    <xf numFmtId="0" fontId="23" fillId="5" borderId="42" xfId="0" applyFont="1" applyFill="1" applyBorder="1" applyAlignment="1" applyProtection="1">
      <alignment horizontal="center" vertical="center" wrapText="1"/>
      <protection hidden="1"/>
    </xf>
    <xf numFmtId="165" fontId="24" fillId="6" borderId="14" xfId="0" applyNumberFormat="1" applyFont="1" applyFill="1" applyBorder="1" applyAlignment="1" applyProtection="1">
      <alignment horizontal="center" vertical="center"/>
      <protection hidden="1"/>
    </xf>
    <xf numFmtId="165" fontId="24" fillId="6" borderId="47" xfId="0" applyNumberFormat="1" applyFont="1" applyFill="1" applyBorder="1" applyAlignment="1" applyProtection="1">
      <alignment horizontal="center" vertical="center"/>
      <protection hidden="1"/>
    </xf>
    <xf numFmtId="165" fontId="24" fillId="6" borderId="15" xfId="0" applyNumberFormat="1" applyFont="1" applyFill="1" applyBorder="1" applyAlignment="1" applyProtection="1">
      <alignment horizontal="center" vertical="center"/>
      <protection hidden="1"/>
    </xf>
    <xf numFmtId="165" fontId="24" fillId="6" borderId="38" xfId="0" applyNumberFormat="1" applyFont="1" applyFill="1" applyBorder="1" applyAlignment="1" applyProtection="1">
      <alignment horizontal="center" vertical="center"/>
      <protection hidden="1"/>
    </xf>
    <xf numFmtId="165" fontId="24" fillId="6" borderId="40" xfId="0" applyNumberFormat="1" applyFont="1" applyFill="1" applyBorder="1" applyAlignment="1" applyProtection="1">
      <alignment horizontal="center" vertical="center"/>
      <protection hidden="1"/>
    </xf>
    <xf numFmtId="165" fontId="24" fillId="6" borderId="42" xfId="0" applyNumberFormat="1" applyFont="1" applyFill="1" applyBorder="1" applyAlignment="1" applyProtection="1">
      <alignment horizontal="center" vertical="center"/>
      <protection hidden="1"/>
    </xf>
    <xf numFmtId="0" fontId="25" fillId="5" borderId="34" xfId="0" applyFont="1" applyFill="1" applyBorder="1" applyAlignment="1" applyProtection="1">
      <alignment horizontal="center"/>
      <protection hidden="1"/>
    </xf>
    <xf numFmtId="0" fontId="25" fillId="5" borderId="12" xfId="0" applyFont="1" applyFill="1" applyBorder="1" applyAlignment="1" applyProtection="1">
      <alignment horizontal="center"/>
      <protection hidden="1"/>
    </xf>
    <xf numFmtId="0" fontId="25" fillId="5" borderId="13" xfId="0" applyFont="1" applyFill="1" applyBorder="1" applyAlignment="1" applyProtection="1">
      <alignment horizontal="center"/>
      <protection hidden="1"/>
    </xf>
    <xf numFmtId="0" fontId="28" fillId="5" borderId="34" xfId="0" applyFont="1" applyFill="1" applyBorder="1" applyAlignment="1" applyProtection="1">
      <alignment horizontal="center"/>
      <protection hidden="1"/>
    </xf>
    <xf numFmtId="0" fontId="28" fillId="5" borderId="12" xfId="0" applyFont="1" applyFill="1" applyBorder="1" applyAlignment="1" applyProtection="1">
      <alignment horizontal="center"/>
      <protection hidden="1"/>
    </xf>
    <xf numFmtId="0" fontId="28" fillId="5" borderId="13" xfId="0" applyFont="1" applyFill="1" applyBorder="1" applyAlignment="1" applyProtection="1">
      <alignment horizontal="center"/>
      <protection hidden="1"/>
    </xf>
    <xf numFmtId="0" fontId="18" fillId="0" borderId="14" xfId="0" applyFont="1" applyBorder="1" applyAlignment="1" applyProtection="1">
      <alignment horizontal="left" vertical="center" wrapText="1"/>
      <protection hidden="1"/>
    </xf>
    <xf numFmtId="0" fontId="18" fillId="0" borderId="47" xfId="0" applyFont="1" applyBorder="1" applyAlignment="1" applyProtection="1">
      <alignment horizontal="left" vertical="center" wrapText="1"/>
      <protection hidden="1"/>
    </xf>
    <xf numFmtId="0" fontId="18" fillId="0" borderId="15" xfId="0" applyFont="1" applyBorder="1" applyAlignment="1" applyProtection="1">
      <alignment horizontal="left" vertical="center" wrapText="1"/>
      <protection hidden="1"/>
    </xf>
    <xf numFmtId="0" fontId="18" fillId="0" borderId="32" xfId="0" applyFont="1" applyBorder="1" applyAlignment="1" applyProtection="1">
      <alignment horizontal="left" vertical="center" wrapText="1"/>
      <protection hidden="1"/>
    </xf>
    <xf numFmtId="0" fontId="18" fillId="0" borderId="0" xfId="0" applyFont="1" applyAlignment="1" applyProtection="1">
      <alignment horizontal="left" vertical="center" wrapText="1"/>
      <protection hidden="1"/>
    </xf>
    <xf numFmtId="0" fontId="18" fillId="0" borderId="53" xfId="0" applyFont="1" applyBorder="1" applyAlignment="1" applyProtection="1">
      <alignment horizontal="left" vertical="center" wrapText="1"/>
      <protection hidden="1"/>
    </xf>
    <xf numFmtId="0" fontId="18" fillId="0" borderId="38" xfId="0" applyFont="1" applyBorder="1" applyAlignment="1" applyProtection="1">
      <alignment horizontal="left" vertical="center" wrapText="1"/>
      <protection hidden="1"/>
    </xf>
    <xf numFmtId="0" fontId="18" fillId="0" borderId="40" xfId="0" applyFont="1" applyBorder="1" applyAlignment="1" applyProtection="1">
      <alignment horizontal="left" vertical="center" wrapText="1"/>
      <protection hidden="1"/>
    </xf>
    <xf numFmtId="0" fontId="18" fillId="0" borderId="42" xfId="0" applyFont="1" applyBorder="1" applyAlignment="1" applyProtection="1">
      <alignment horizontal="left" vertical="center" wrapText="1"/>
      <protection hidden="1"/>
    </xf>
    <xf numFmtId="1" fontId="11" fillId="6" borderId="34" xfId="0" applyNumberFormat="1" applyFont="1" applyFill="1" applyBorder="1" applyAlignment="1" applyProtection="1">
      <alignment horizontal="center"/>
      <protection hidden="1"/>
    </xf>
    <xf numFmtId="1" fontId="11" fillId="6" borderId="12" xfId="0" applyNumberFormat="1" applyFont="1" applyFill="1" applyBorder="1" applyAlignment="1" applyProtection="1">
      <alignment horizontal="center"/>
      <protection hidden="1"/>
    </xf>
    <xf numFmtId="1" fontId="11" fillId="6" borderId="13" xfId="0" applyNumberFormat="1" applyFont="1" applyFill="1" applyBorder="1" applyAlignment="1" applyProtection="1">
      <alignment horizontal="center"/>
      <protection hidden="1"/>
    </xf>
    <xf numFmtId="0" fontId="6" fillId="0" borderId="38" xfId="0" applyFont="1" applyBorder="1" applyAlignment="1">
      <alignment horizontal="left" vertical="top" wrapText="1"/>
    </xf>
    <xf numFmtId="0" fontId="6" fillId="0" borderId="40" xfId="0" applyFont="1" applyBorder="1" applyAlignment="1">
      <alignment horizontal="left" vertical="top" wrapText="1"/>
    </xf>
    <xf numFmtId="0" fontId="6" fillId="0" borderId="42" xfId="0" applyFont="1" applyBorder="1" applyAlignment="1">
      <alignment horizontal="left" vertical="top" wrapText="1"/>
    </xf>
    <xf numFmtId="165" fontId="24" fillId="6" borderId="32" xfId="0" applyNumberFormat="1" applyFont="1" applyFill="1" applyBorder="1" applyAlignment="1" applyProtection="1">
      <alignment horizontal="center" vertical="center"/>
      <protection hidden="1"/>
    </xf>
    <xf numFmtId="165" fontId="24" fillId="6" borderId="0" xfId="0" applyNumberFormat="1" applyFont="1" applyFill="1" applyAlignment="1" applyProtection="1">
      <alignment horizontal="center" vertical="center"/>
      <protection hidden="1"/>
    </xf>
    <xf numFmtId="0" fontId="30" fillId="5" borderId="14" xfId="0" applyFont="1" applyFill="1" applyBorder="1" applyAlignment="1" applyProtection="1">
      <alignment horizontal="center" vertical="center"/>
      <protection hidden="1"/>
    </xf>
    <xf numFmtId="0" fontId="30" fillId="5" borderId="47" xfId="0" applyFont="1" applyFill="1" applyBorder="1" applyAlignment="1" applyProtection="1">
      <alignment horizontal="center" vertical="center"/>
      <protection hidden="1"/>
    </xf>
    <xf numFmtId="0" fontId="30" fillId="5" borderId="15" xfId="0" applyFont="1" applyFill="1" applyBorder="1" applyAlignment="1" applyProtection="1">
      <alignment horizontal="center" vertical="center"/>
      <protection hidden="1"/>
    </xf>
    <xf numFmtId="0" fontId="30" fillId="5" borderId="32" xfId="0" applyFont="1" applyFill="1" applyBorder="1" applyAlignment="1" applyProtection="1">
      <alignment horizontal="center" vertical="center"/>
      <protection hidden="1"/>
    </xf>
    <xf numFmtId="0" fontId="30" fillId="5" borderId="0" xfId="0" applyFont="1" applyFill="1" applyAlignment="1" applyProtection="1">
      <alignment horizontal="center" vertical="center"/>
      <protection hidden="1"/>
    </xf>
    <xf numFmtId="0" fontId="30" fillId="5" borderId="53" xfId="0" applyFont="1" applyFill="1" applyBorder="1" applyAlignment="1" applyProtection="1">
      <alignment horizontal="center" vertical="center"/>
      <protection hidden="1"/>
    </xf>
    <xf numFmtId="0" fontId="30" fillId="5" borderId="38" xfId="0" applyFont="1" applyFill="1" applyBorder="1" applyAlignment="1" applyProtection="1">
      <alignment horizontal="center" vertical="center"/>
      <protection hidden="1"/>
    </xf>
    <xf numFmtId="0" fontId="30" fillId="5" borderId="40" xfId="0" applyFont="1" applyFill="1" applyBorder="1" applyAlignment="1" applyProtection="1">
      <alignment horizontal="center" vertical="center"/>
      <protection hidden="1"/>
    </xf>
    <xf numFmtId="0" fontId="30" fillId="5" borderId="42" xfId="0" applyFont="1" applyFill="1" applyBorder="1" applyAlignment="1" applyProtection="1">
      <alignment horizontal="center" vertical="center"/>
      <protection hidden="1"/>
    </xf>
    <xf numFmtId="0" fontId="6" fillId="0" borderId="32" xfId="0" applyFont="1" applyBorder="1" applyAlignment="1" applyProtection="1">
      <alignment horizontal="left" vertical="top" wrapText="1"/>
      <protection hidden="1"/>
    </xf>
    <xf numFmtId="0" fontId="6" fillId="0" borderId="0" xfId="0" applyFont="1" applyAlignment="1" applyProtection="1">
      <alignment horizontal="left" vertical="top" wrapText="1"/>
      <protection hidden="1"/>
    </xf>
    <xf numFmtId="0" fontId="6" fillId="0" borderId="53" xfId="0" applyFont="1" applyBorder="1" applyAlignment="1" applyProtection="1">
      <alignment horizontal="left" vertical="top" wrapText="1"/>
      <protection hidden="1"/>
    </xf>
    <xf numFmtId="0" fontId="31" fillId="0" borderId="32" xfId="0" applyFont="1" applyBorder="1" applyAlignment="1">
      <alignment horizontal="left" wrapText="1"/>
    </xf>
    <xf numFmtId="0" fontId="31" fillId="0" borderId="0" xfId="0" applyFont="1" applyAlignment="1">
      <alignment horizontal="left" wrapText="1"/>
    </xf>
    <xf numFmtId="0" fontId="31" fillId="0" borderId="53" xfId="0" applyFont="1" applyBorder="1" applyAlignment="1">
      <alignment horizontal="left" wrapText="1"/>
    </xf>
    <xf numFmtId="0" fontId="31" fillId="0" borderId="38" xfId="0" applyFont="1" applyBorder="1" applyAlignment="1">
      <alignment horizontal="left" wrapText="1"/>
    </xf>
    <xf numFmtId="0" fontId="31" fillId="0" borderId="40" xfId="0" applyFont="1" applyBorder="1" applyAlignment="1">
      <alignment horizontal="left" wrapText="1"/>
    </xf>
    <xf numFmtId="0" fontId="31" fillId="0" borderId="42" xfId="0" applyFont="1" applyBorder="1" applyAlignment="1">
      <alignment horizontal="left" wrapText="1"/>
    </xf>
    <xf numFmtId="0" fontId="31" fillId="0" borderId="14" xfId="0" applyFont="1" applyBorder="1" applyAlignment="1" applyProtection="1">
      <alignment horizontal="left"/>
      <protection hidden="1"/>
    </xf>
    <xf numFmtId="0" fontId="31" fillId="0" borderId="47" xfId="0" applyFont="1" applyBorder="1" applyAlignment="1" applyProtection="1">
      <alignment horizontal="left"/>
      <protection hidden="1"/>
    </xf>
    <xf numFmtId="0" fontId="31" fillId="0" borderId="15" xfId="0" applyFont="1" applyBorder="1" applyAlignment="1" applyProtection="1">
      <alignment horizontal="left"/>
      <protection hidden="1"/>
    </xf>
    <xf numFmtId="0" fontId="27" fillId="5" borderId="47" xfId="0" applyFont="1" applyFill="1" applyBorder="1" applyAlignment="1" applyProtection="1">
      <alignment horizontal="center" vertical="center"/>
      <protection hidden="1"/>
    </xf>
    <xf numFmtId="0" fontId="27" fillId="5" borderId="15" xfId="0" applyFont="1" applyFill="1" applyBorder="1" applyAlignment="1" applyProtection="1">
      <alignment horizontal="center" vertical="center"/>
      <protection hidden="1"/>
    </xf>
    <xf numFmtId="0" fontId="27" fillId="5" borderId="32" xfId="0" applyFont="1" applyFill="1" applyBorder="1" applyAlignment="1" applyProtection="1">
      <alignment horizontal="center" vertical="center"/>
      <protection hidden="1"/>
    </xf>
    <xf numFmtId="0" fontId="27" fillId="5" borderId="0" xfId="0" applyFont="1" applyFill="1" applyAlignment="1" applyProtection="1">
      <alignment horizontal="center" vertical="center"/>
      <protection hidden="1"/>
    </xf>
    <xf numFmtId="0" fontId="27" fillId="5" borderId="53" xfId="0" applyFont="1" applyFill="1" applyBorder="1" applyAlignment="1" applyProtection="1">
      <alignment horizontal="center" vertical="center"/>
      <protection hidden="1"/>
    </xf>
    <xf numFmtId="0" fontId="27" fillId="5" borderId="38" xfId="0" applyFont="1" applyFill="1" applyBorder="1" applyAlignment="1" applyProtection="1">
      <alignment horizontal="center" vertical="center"/>
      <protection hidden="1"/>
    </xf>
    <xf numFmtId="0" fontId="27" fillId="5" borderId="40" xfId="0" applyFont="1" applyFill="1" applyBorder="1" applyAlignment="1" applyProtection="1">
      <alignment horizontal="center" vertical="center"/>
      <protection hidden="1"/>
    </xf>
    <xf numFmtId="0" fontId="27" fillId="5" borderId="42" xfId="0" applyFont="1" applyFill="1" applyBorder="1" applyAlignment="1" applyProtection="1">
      <alignment horizontal="center" vertical="center"/>
      <protection hidden="1"/>
    </xf>
    <xf numFmtId="0" fontId="31" fillId="0" borderId="32" xfId="0" applyFont="1" applyBorder="1" applyAlignment="1" applyProtection="1">
      <alignment horizontal="left" vertical="top" wrapText="1"/>
      <protection hidden="1"/>
    </xf>
    <xf numFmtId="0" fontId="31" fillId="0" borderId="0" xfId="0" applyFont="1" applyAlignment="1" applyProtection="1">
      <alignment horizontal="left" vertical="top" wrapText="1"/>
      <protection hidden="1"/>
    </xf>
    <xf numFmtId="0" fontId="31" fillId="0" borderId="53" xfId="0" applyFont="1" applyBorder="1" applyAlignment="1" applyProtection="1">
      <alignment horizontal="left" vertical="top" wrapText="1"/>
      <protection hidden="1"/>
    </xf>
    <xf numFmtId="0" fontId="6" fillId="0" borderId="14" xfId="0" applyFont="1" applyBorder="1" applyAlignment="1" applyProtection="1">
      <alignment horizontal="left"/>
      <protection hidden="1"/>
    </xf>
    <xf numFmtId="0" fontId="6" fillId="0" borderId="47" xfId="0" applyFont="1" applyBorder="1" applyAlignment="1" applyProtection="1">
      <alignment horizontal="left"/>
      <protection hidden="1"/>
    </xf>
    <xf numFmtId="0" fontId="6" fillId="0" borderId="15" xfId="0" applyFont="1" applyBorder="1" applyAlignment="1" applyProtection="1">
      <alignment horizontal="left"/>
      <protection hidden="1"/>
    </xf>
    <xf numFmtId="0" fontId="6" fillId="0" borderId="38" xfId="0" applyFont="1" applyBorder="1" applyAlignment="1" applyProtection="1">
      <alignment horizontal="left" vertical="top" wrapText="1"/>
      <protection hidden="1"/>
    </xf>
    <xf numFmtId="0" fontId="6" fillId="0" borderId="40" xfId="0" applyFont="1" applyBorder="1" applyAlignment="1" applyProtection="1">
      <alignment horizontal="left" vertical="top" wrapText="1"/>
      <protection hidden="1"/>
    </xf>
    <xf numFmtId="0" fontId="6" fillId="0" borderId="42" xfId="0" applyFont="1" applyBorder="1" applyAlignment="1" applyProtection="1">
      <alignment horizontal="left" vertical="top" wrapText="1"/>
      <protection hidden="1"/>
    </xf>
    <xf numFmtId="0" fontId="9" fillId="5" borderId="14" xfId="0" applyFont="1" applyFill="1" applyBorder="1" applyAlignment="1" applyProtection="1">
      <alignment horizontal="center" vertical="center"/>
      <protection hidden="1"/>
    </xf>
    <xf numFmtId="0" fontId="9" fillId="5" borderId="47" xfId="0" applyFont="1" applyFill="1" applyBorder="1" applyAlignment="1" applyProtection="1">
      <alignment horizontal="center" vertical="center"/>
      <protection hidden="1"/>
    </xf>
    <xf numFmtId="0" fontId="9" fillId="5" borderId="15" xfId="0" applyFont="1" applyFill="1" applyBorder="1" applyAlignment="1" applyProtection="1">
      <alignment horizontal="center" vertical="center"/>
      <protection hidden="1"/>
    </xf>
    <xf numFmtId="0" fontId="9" fillId="5" borderId="32" xfId="0" applyFont="1" applyFill="1" applyBorder="1" applyAlignment="1" applyProtection="1">
      <alignment horizontal="center" vertical="center"/>
      <protection hidden="1"/>
    </xf>
    <xf numFmtId="0" fontId="9" fillId="5" borderId="0" xfId="0" applyFont="1" applyFill="1" applyAlignment="1" applyProtection="1">
      <alignment horizontal="center" vertical="center"/>
      <protection hidden="1"/>
    </xf>
    <xf numFmtId="0" fontId="9" fillId="5" borderId="53" xfId="0" applyFont="1" applyFill="1" applyBorder="1" applyAlignment="1" applyProtection="1">
      <alignment horizontal="center" vertical="center"/>
      <protection hidden="1"/>
    </xf>
    <xf numFmtId="0" fontId="9" fillId="5" borderId="38" xfId="0" applyFont="1" applyFill="1" applyBorder="1" applyAlignment="1" applyProtection="1">
      <alignment horizontal="center" vertical="center"/>
      <protection hidden="1"/>
    </xf>
    <xf numFmtId="0" fontId="9" fillId="5" borderId="40" xfId="0" applyFont="1" applyFill="1" applyBorder="1" applyAlignment="1" applyProtection="1">
      <alignment horizontal="center" vertical="center"/>
      <protection hidden="1"/>
    </xf>
    <xf numFmtId="0" fontId="9" fillId="5" borderId="42" xfId="0" applyFont="1" applyFill="1" applyBorder="1" applyAlignment="1" applyProtection="1">
      <alignment horizontal="center" vertical="center"/>
      <protection hidden="1"/>
    </xf>
    <xf numFmtId="0" fontId="6" fillId="0" borderId="14" xfId="0" applyFont="1" applyBorder="1" applyAlignment="1" applyProtection="1">
      <alignment horizontal="left" vertical="top" wrapText="1"/>
      <protection hidden="1"/>
    </xf>
    <xf numFmtId="0" fontId="6" fillId="0" borderId="47" xfId="0" applyFont="1" applyBorder="1" applyAlignment="1" applyProtection="1">
      <alignment horizontal="left" vertical="top" wrapText="1"/>
      <protection hidden="1"/>
    </xf>
    <xf numFmtId="0" fontId="6" fillId="0" borderId="15" xfId="0" applyFont="1" applyBorder="1" applyAlignment="1" applyProtection="1">
      <alignment horizontal="left" vertical="top" wrapText="1"/>
      <protection hidden="1"/>
    </xf>
    <xf numFmtId="0" fontId="6" fillId="0" borderId="14" xfId="0" applyFont="1" applyBorder="1" applyAlignment="1" applyProtection="1">
      <alignment horizontal="left" vertical="center" wrapText="1"/>
      <protection hidden="1"/>
    </xf>
    <xf numFmtId="0" fontId="6" fillId="0" borderId="47" xfId="0" applyFont="1" applyBorder="1" applyAlignment="1" applyProtection="1">
      <alignment horizontal="left" vertical="center" wrapText="1"/>
      <protection hidden="1"/>
    </xf>
    <xf numFmtId="0" fontId="6" fillId="0" borderId="15" xfId="0" applyFont="1" applyBorder="1" applyAlignment="1" applyProtection="1">
      <alignment horizontal="left" vertical="center" wrapText="1"/>
      <protection hidden="1"/>
    </xf>
    <xf numFmtId="0" fontId="6" fillId="0" borderId="32" xfId="0" applyFont="1" applyBorder="1" applyAlignment="1" applyProtection="1">
      <alignment horizontal="left" vertical="center" wrapText="1"/>
      <protection hidden="1"/>
    </xf>
    <xf numFmtId="0" fontId="6" fillId="0" borderId="0" xfId="0" applyFont="1" applyAlignment="1" applyProtection="1">
      <alignment horizontal="left" vertical="center" wrapText="1"/>
      <protection hidden="1"/>
    </xf>
    <xf numFmtId="0" fontId="6" fillId="0" borderId="53" xfId="0" applyFont="1" applyBorder="1" applyAlignment="1" applyProtection="1">
      <alignment horizontal="left" vertical="center" wrapText="1"/>
      <protection hidden="1"/>
    </xf>
    <xf numFmtId="0" fontId="6" fillId="0" borderId="38" xfId="0" applyFont="1" applyBorder="1" applyAlignment="1" applyProtection="1">
      <alignment horizontal="left" vertical="center" wrapText="1"/>
      <protection hidden="1"/>
    </xf>
    <xf numFmtId="0" fontId="6" fillId="0" borderId="40" xfId="0" applyFont="1" applyBorder="1" applyAlignment="1" applyProtection="1">
      <alignment horizontal="left" vertical="center" wrapText="1"/>
      <protection hidden="1"/>
    </xf>
    <xf numFmtId="0" fontId="6" fillId="0" borderId="42" xfId="0" applyFont="1" applyBorder="1" applyAlignment="1" applyProtection="1">
      <alignment horizontal="left" vertical="center" wrapText="1"/>
      <protection hidden="1"/>
    </xf>
  </cellXfs>
  <cellStyles count="6">
    <cellStyle name="20% - Accent1" xfId="4" builtinId="30"/>
    <cellStyle name="Heading 1" xfId="1" builtinId="16"/>
    <cellStyle name="Heading 2" xfId="2" builtinId="17"/>
    <cellStyle name="Linked Cell" xfId="3" builtinId="24"/>
    <cellStyle name="Normal" xfId="0" builtinId="0"/>
    <cellStyle name="Percent" xfId="5" builtinId="5"/>
  </cellStyles>
  <dxfs count="5">
    <dxf>
      <font>
        <color auto="1"/>
      </font>
      <fill>
        <patternFill>
          <bgColor rgb="FFFF0000"/>
        </patternFill>
      </fill>
    </dxf>
    <dxf>
      <fill>
        <patternFill>
          <bgColor rgb="FFFFC000"/>
        </patternFill>
      </fill>
    </dxf>
    <dxf>
      <font>
        <color auto="1"/>
      </font>
      <fill>
        <patternFill>
          <bgColor rgb="FFFFFF00"/>
        </patternFill>
      </fill>
    </dxf>
    <dxf>
      <fill>
        <patternFill>
          <bgColor rgb="FF0070C0"/>
        </patternFill>
      </fill>
    </dxf>
    <dxf>
      <fill>
        <patternFill>
          <bgColor rgb="FF00B050"/>
        </patternFill>
      </fill>
    </dxf>
  </dxfs>
  <tableStyles count="0" defaultTableStyle="TableStyleMedium2" defaultPivotStyle="PivotStyleLight16"/>
  <colors>
    <mruColors>
      <color rgb="FFEEEEEE"/>
      <color rgb="FFA0A0A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a:lstStyle/>
          <a:p>
            <a:pPr>
              <a:defRPr/>
            </a:pPr>
            <a:r>
              <a:rPr lang="en-US"/>
              <a:t>% DE IMPLEMENTACIÓN POR CLÁUSULA</a:t>
            </a:r>
          </a:p>
        </c:rich>
      </c:tx>
      <c:overlay val="0"/>
    </c:title>
    <c:autoTitleDeleted val="0"/>
    <c:plotArea>
      <c:layout>
        <c:manualLayout>
          <c:layoutTarget val="inner"/>
          <c:xMode val="edge"/>
          <c:yMode val="edge"/>
          <c:x val="0.1949752685368073"/>
          <c:y val="0.13989575049071989"/>
          <c:w val="0.6787597304348193"/>
          <c:h val="0.45246031466277919"/>
        </c:manualLayout>
      </c:layout>
      <c:barChart>
        <c:barDir val="col"/>
        <c:grouping val="clustered"/>
        <c:varyColors val="0"/>
        <c:ser>
          <c:idx val="0"/>
          <c:order val="0"/>
          <c:tx>
            <c:v>CLÁUSULAS</c:v>
          </c:tx>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'ANÁLISIS DATOS GLOBAL'!$L$9:$L$15</c:f>
              <c:strCache>
                <c:ptCount val="7"/>
                <c:pt idx="0">
                  <c:v>4. CONTEXTO DE LA ORGANIZACIÓN</c:v>
                </c:pt>
                <c:pt idx="1">
                  <c:v>5. LIDERAZGO</c:v>
                </c:pt>
                <c:pt idx="2">
                  <c:v>6. PLANIFICACIÓN</c:v>
                </c:pt>
                <c:pt idx="3">
                  <c:v>7. SOPORTE</c:v>
                </c:pt>
                <c:pt idx="4">
                  <c:v>8. OPERACIÓN</c:v>
                </c:pt>
                <c:pt idx="5">
                  <c:v>9. EVALUACIÓN DEL DESEMPEÑO</c:v>
                </c:pt>
                <c:pt idx="6">
                  <c:v>10. MEJORA</c:v>
                </c:pt>
              </c:strCache>
            </c:strRef>
          </c:cat>
          <c:val>
            <c:numRef>
              <c:f>'ANÁLISIS DATOS GLOBAL'!$M$9:$M$15</c:f>
              <c:numCache>
                <c:formatCode>0.00%</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8686-4185-81E4-B877BDE35FF0}"/>
            </c:ext>
          </c:extLst>
        </c:ser>
        <c:dLbls>
          <c:showLegendKey val="0"/>
          <c:showVal val="0"/>
          <c:showCatName val="0"/>
          <c:showSerName val="0"/>
          <c:showPercent val="0"/>
          <c:showBubbleSize val="0"/>
        </c:dLbls>
        <c:gapWidth val="150"/>
        <c:axId val="156508672"/>
        <c:axId val="46430976"/>
      </c:barChart>
      <c:catAx>
        <c:axId val="156508672"/>
        <c:scaling>
          <c:orientation val="minMax"/>
        </c:scaling>
        <c:delete val="0"/>
        <c:axPos val="b"/>
        <c:numFmt formatCode="General" sourceLinked="0"/>
        <c:majorTickMark val="out"/>
        <c:minorTickMark val="none"/>
        <c:tickLblPos val="nextTo"/>
        <c:crossAx val="46430976"/>
        <c:crosses val="autoZero"/>
        <c:auto val="1"/>
        <c:lblAlgn val="ctr"/>
        <c:lblOffset val="100"/>
        <c:noMultiLvlLbl val="0"/>
      </c:catAx>
      <c:valAx>
        <c:axId val="46430976"/>
        <c:scaling>
          <c:orientation val="minMax"/>
        </c:scaling>
        <c:delete val="0"/>
        <c:axPos val="l"/>
        <c:majorGridlines/>
        <c:numFmt formatCode="0.00%" sourceLinked="1"/>
        <c:majorTickMark val="out"/>
        <c:minorTickMark val="none"/>
        <c:tickLblPos val="nextTo"/>
        <c:crossAx val="156508672"/>
        <c:crosses val="autoZero"/>
        <c:crossBetween val="between"/>
      </c:valAx>
    </c:plotArea>
    <c:legend>
      <c:legendPos val="r"/>
      <c:layout>
        <c:manualLayout>
          <c:xMode val="edge"/>
          <c:yMode val="edge"/>
          <c:x val="0.87890090609963312"/>
          <c:y val="0.39480262284314871"/>
          <c:w val="0.1099950519623681"/>
          <c:h val="6.2243855583131787E-2"/>
        </c:manualLayout>
      </c:layout>
      <c:overlay val="0"/>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Porcentaje de Implementación del SGA</a:t>
            </a:r>
          </a:p>
        </c:rich>
      </c:tx>
      <c:overlay val="0"/>
    </c:title>
    <c:autoTitleDeleted val="0"/>
    <c:plotArea>
      <c:layout/>
      <c:barChart>
        <c:barDir val="col"/>
        <c:grouping val="percentStacked"/>
        <c:varyColors val="0"/>
        <c:ser>
          <c:idx val="3"/>
          <c:order val="0"/>
          <c:tx>
            <c:strRef>
              <c:f>'ANÁLISIS DATOS GLOBAL'!$L$16</c:f>
              <c:strCache>
                <c:ptCount val="1"/>
                <c:pt idx="0">
                  <c:v>PORCENTAJE TOTAL DE IMPLEMENTACIÓN SGC</c:v>
                </c:pt>
              </c:strCache>
            </c:strRef>
          </c:tx>
          <c:invertIfNegative val="0"/>
          <c:dLbls>
            <c:spPr>
              <a:noFill/>
              <a:ln>
                <a:noFill/>
              </a:ln>
              <a:effectLst/>
            </c:spPr>
            <c:txPr>
              <a:bodyPr/>
              <a:lstStyle/>
              <a:p>
                <a:pPr>
                  <a:defRPr b="1">
                    <a:solidFill>
                      <a:schemeClr val="bg1"/>
                    </a:solidFill>
                  </a:defRPr>
                </a:pPr>
                <a:endParaRPr lang="es-419"/>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'ANÁLISIS DATOS GLOBAL'!$M$16</c:f>
              <c:numCache>
                <c:formatCode>0.00%</c:formatCode>
                <c:ptCount val="1"/>
                <c:pt idx="0">
                  <c:v>0</c:v>
                </c:pt>
              </c:numCache>
            </c:numRef>
          </c:val>
          <c:extLst>
            <c:ext xmlns:c16="http://schemas.microsoft.com/office/drawing/2014/chart" uri="{C3380CC4-5D6E-409C-BE32-E72D297353CC}">
              <c16:uniqueId val="{00000000-382C-49A4-B1E8-83D0F72596D8}"/>
            </c:ext>
          </c:extLst>
        </c:ser>
        <c:ser>
          <c:idx val="2"/>
          <c:order val="1"/>
          <c:tx>
            <c:strRef>
              <c:f>'ANÁLISIS DATOS GLOBAL'!$L$17</c:f>
              <c:strCache>
                <c:ptCount val="1"/>
                <c:pt idx="0">
                  <c:v>BRECHA</c:v>
                </c:pt>
              </c:strCache>
            </c:strRef>
          </c:tx>
          <c:invertIfNegative val="0"/>
          <c:dLbls>
            <c:spPr>
              <a:noFill/>
              <a:ln>
                <a:noFill/>
              </a:ln>
              <a:effectLst/>
            </c:spPr>
            <c:txPr>
              <a:bodyPr/>
              <a:lstStyle/>
              <a:p>
                <a:pPr>
                  <a:defRPr b="1">
                    <a:solidFill>
                      <a:schemeClr val="bg1"/>
                    </a:solidFill>
                  </a:defRPr>
                </a:pPr>
                <a:endParaRPr lang="es-419"/>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'ANÁLISIS DATOS GLOBAL'!$M$17</c:f>
              <c:numCache>
                <c:formatCode>0.00%</c:formatCode>
                <c:ptCount val="1"/>
                <c:pt idx="0">
                  <c:v>1</c:v>
                </c:pt>
              </c:numCache>
            </c:numRef>
          </c:val>
          <c:extLst>
            <c:ext xmlns:c16="http://schemas.microsoft.com/office/drawing/2014/chart" uri="{C3380CC4-5D6E-409C-BE32-E72D297353CC}">
              <c16:uniqueId val="{00000001-382C-49A4-B1E8-83D0F72596D8}"/>
            </c:ext>
          </c:extLst>
        </c:ser>
        <c:dLbls>
          <c:showLegendKey val="0"/>
          <c:showVal val="0"/>
          <c:showCatName val="0"/>
          <c:showSerName val="0"/>
          <c:showPercent val="0"/>
          <c:showBubbleSize val="0"/>
        </c:dLbls>
        <c:gapWidth val="150"/>
        <c:overlap val="100"/>
        <c:axId val="156509184"/>
        <c:axId val="156639808"/>
      </c:barChart>
      <c:catAx>
        <c:axId val="156509184"/>
        <c:scaling>
          <c:orientation val="minMax"/>
        </c:scaling>
        <c:delete val="0"/>
        <c:axPos val="b"/>
        <c:numFmt formatCode="General" sourceLinked="1"/>
        <c:majorTickMark val="out"/>
        <c:minorTickMark val="none"/>
        <c:tickLblPos val="nextTo"/>
        <c:crossAx val="156639808"/>
        <c:crosses val="autoZero"/>
        <c:auto val="1"/>
        <c:lblAlgn val="ctr"/>
        <c:lblOffset val="100"/>
        <c:noMultiLvlLbl val="0"/>
      </c:catAx>
      <c:valAx>
        <c:axId val="156639808"/>
        <c:scaling>
          <c:orientation val="minMax"/>
        </c:scaling>
        <c:delete val="0"/>
        <c:axPos val="l"/>
        <c:majorGridlines/>
        <c:numFmt formatCode="0%" sourceLinked="1"/>
        <c:majorTickMark val="out"/>
        <c:minorTickMark val="none"/>
        <c:tickLblPos val="nextTo"/>
        <c:crossAx val="156509184"/>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a:latin typeface="Times New Roman" panose="02020603050405020304" pitchFamily="18" charset="0"/>
                <a:cs typeface="Times New Roman" panose="02020603050405020304" pitchFamily="18" charset="0"/>
              </a:defRPr>
            </a:pPr>
            <a:r>
              <a:rPr lang="en-US" sz="1400">
                <a:latin typeface="Times New Roman" panose="02020603050405020304" pitchFamily="18" charset="0"/>
                <a:cs typeface="Times New Roman" panose="02020603050405020304" pitchFamily="18" charset="0"/>
              </a:rPr>
              <a:t>Porcentaje de representatividad - Requisitos de Contexto de la organización</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4'!$B$12:$B$15</c:f>
              <c:strCache>
                <c:ptCount val="4"/>
                <c:pt idx="0">
                  <c:v>4.1 Comprensión de la organización y de su contexto</c:v>
                </c:pt>
                <c:pt idx="1">
                  <c:v>4.2 Comprensión de las necesidades y expectativas de las partes interesadas</c:v>
                </c:pt>
                <c:pt idx="2">
                  <c:v>4.3 Determinación del alcance del sistema de gestión ambiental</c:v>
                </c:pt>
                <c:pt idx="3">
                  <c:v>4.4 Sistema de gestión ambiental</c:v>
                </c:pt>
              </c:strCache>
            </c:strRef>
          </c:cat>
          <c:val>
            <c:numRef>
              <c:f>'ANÁLISIS 4'!$I$12:$I$15</c:f>
              <c:numCache>
                <c:formatCode>#,##0</c:formatCode>
                <c:ptCount val="4"/>
                <c:pt idx="0">
                  <c:v>0</c:v>
                </c:pt>
                <c:pt idx="1">
                  <c:v>0</c:v>
                </c:pt>
                <c:pt idx="2">
                  <c:v>0</c:v>
                </c:pt>
                <c:pt idx="3">
                  <c:v>0</c:v>
                </c:pt>
              </c:numCache>
            </c:numRef>
          </c:val>
          <c:extLst>
            <c:ext xmlns:c16="http://schemas.microsoft.com/office/drawing/2014/chart" uri="{C3380CC4-5D6E-409C-BE32-E72D297353CC}">
              <c16:uniqueId val="{00000000-39E0-424A-B689-5297BB21DD0F}"/>
            </c:ext>
          </c:extLst>
        </c:ser>
        <c:ser>
          <c:idx val="1"/>
          <c:order val="1"/>
          <c:tx>
            <c:strRef>
              <c:f>'ANÁLISIS 4'!$B$9:$I$9</c:f>
              <c:strCache>
                <c:ptCount val="1"/>
                <c:pt idx="0">
                  <c:v>4. CONTEXTO DE LA ORGANIZACIÓN</c:v>
                </c:pt>
              </c:strCache>
            </c:strRef>
          </c:tx>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4'!$B$12:$B$15</c:f>
              <c:strCache>
                <c:ptCount val="4"/>
                <c:pt idx="0">
                  <c:v>4.1 Comprensión de la organización y de su contexto</c:v>
                </c:pt>
                <c:pt idx="1">
                  <c:v>4.2 Comprensión de las necesidades y expectativas de las partes interesadas</c:v>
                </c:pt>
                <c:pt idx="2">
                  <c:v>4.3 Determinación del alcance del sistema de gestión ambiental</c:v>
                </c:pt>
                <c:pt idx="3">
                  <c:v>4.4 Sistema de gestión ambiental</c:v>
                </c:pt>
              </c:strCache>
            </c:strRef>
          </c:cat>
          <c:val>
            <c:numLit>
              <c:formatCode>General</c:formatCode>
              <c:ptCount val="1"/>
              <c:pt idx="0">
                <c:v>1</c:v>
              </c:pt>
            </c:numLit>
          </c:val>
          <c:extLst>
            <c:ext xmlns:c16="http://schemas.microsoft.com/office/drawing/2014/chart" uri="{C3380CC4-5D6E-409C-BE32-E72D297353CC}">
              <c16:uniqueId val="{00000001-39E0-424A-B689-5297BB21DD0F}"/>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a:latin typeface="Times New Roman" panose="02020603050405020304" pitchFamily="18" charset="0"/>
                <a:cs typeface="Times New Roman" panose="02020603050405020304" pitchFamily="18" charset="0"/>
              </a:defRPr>
            </a:pPr>
            <a:r>
              <a:rPr lang="es-PE" sz="1400" b="1" i="0" baseline="0">
                <a:effectLst/>
                <a:latin typeface="Times New Roman" panose="02020603050405020304" pitchFamily="18" charset="0"/>
                <a:cs typeface="Times New Roman" panose="02020603050405020304" pitchFamily="18" charset="0"/>
              </a:rPr>
              <a:t>Porcentaje de valores de cumplimiento y numerales de CLÁUSULA 4</a:t>
            </a:r>
            <a:endParaRPr lang="es-PE" sz="1400">
              <a:effectLst/>
              <a:latin typeface="Times New Roman" panose="02020603050405020304" pitchFamily="18" charset="0"/>
              <a:cs typeface="Times New Roman" panose="02020603050405020304" pitchFamily="18" charset="0"/>
            </a:endParaRPr>
          </a:p>
        </c:rich>
      </c:tx>
      <c:overlay val="0"/>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7AE5-4AFB-893C-8B5B4946E41C}"/>
              </c:ext>
            </c:extLst>
          </c:dPt>
          <c:dPt>
            <c:idx val="1"/>
            <c:bubble3D val="0"/>
            <c:spPr>
              <a:solidFill>
                <a:schemeClr val="accent2"/>
              </a:solidFill>
              <a:ln>
                <a:noFill/>
                <a:prstDash val="solid"/>
              </a:ln>
            </c:spPr>
            <c:extLst>
              <c:ext xmlns:c16="http://schemas.microsoft.com/office/drawing/2014/chart" uri="{C3380CC4-5D6E-409C-BE32-E72D297353CC}">
                <c16:uniqueId val="{00000003-7AE5-4AFB-893C-8B5B4946E41C}"/>
              </c:ext>
            </c:extLst>
          </c:dPt>
          <c:dPt>
            <c:idx val="2"/>
            <c:bubble3D val="0"/>
            <c:spPr>
              <a:solidFill>
                <a:schemeClr val="accent3"/>
              </a:solidFill>
              <a:ln>
                <a:noFill/>
                <a:prstDash val="solid"/>
              </a:ln>
            </c:spPr>
            <c:extLst>
              <c:ext xmlns:c16="http://schemas.microsoft.com/office/drawing/2014/chart" uri="{C3380CC4-5D6E-409C-BE32-E72D297353CC}">
                <c16:uniqueId val="{00000005-7AE5-4AFB-893C-8B5B4946E41C}"/>
              </c:ext>
            </c:extLst>
          </c:dPt>
          <c:dPt>
            <c:idx val="3"/>
            <c:bubble3D val="0"/>
            <c:spPr>
              <a:solidFill>
                <a:schemeClr val="accent4"/>
              </a:solidFill>
              <a:ln>
                <a:noFill/>
                <a:prstDash val="solid"/>
              </a:ln>
            </c:spPr>
            <c:extLst>
              <c:ext xmlns:c16="http://schemas.microsoft.com/office/drawing/2014/chart" uri="{C3380CC4-5D6E-409C-BE32-E72D297353CC}">
                <c16:uniqueId val="{00000007-7AE5-4AFB-893C-8B5B4946E41C}"/>
              </c:ext>
            </c:extLst>
          </c:dPt>
          <c:dPt>
            <c:idx val="4"/>
            <c:bubble3D val="0"/>
            <c:spPr>
              <a:solidFill>
                <a:schemeClr val="accent5"/>
              </a:solidFill>
              <a:ln>
                <a:noFill/>
                <a:prstDash val="solid"/>
              </a:ln>
            </c:spPr>
            <c:extLst>
              <c:ext xmlns:c16="http://schemas.microsoft.com/office/drawing/2014/chart" uri="{C3380CC4-5D6E-409C-BE32-E72D297353CC}">
                <c16:uniqueId val="{00000009-7AE5-4AFB-893C-8B5B4946E41C}"/>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4'!$C$10:$G$10</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4'!$C$16:$G$16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7AE5-4AFB-893C-8B5B4946E41C}"/>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a:latin typeface="Times New Roman" panose="02020603050405020304" pitchFamily="18" charset="0"/>
                <a:cs typeface="Times New Roman" panose="02020603050405020304" pitchFamily="18" charset="0"/>
              </a:defRPr>
            </a:pPr>
            <a:r>
              <a:rPr lang="en-US" sz="1000">
                <a:latin typeface="Times New Roman" panose="02020603050405020304" pitchFamily="18" charset="0"/>
                <a:cs typeface="Times New Roman" panose="02020603050405020304" pitchFamily="18" charset="0"/>
              </a:rPr>
              <a:t>Porcentaje de representatividad - Requisitos de Liderazgo</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5'!$B$12:$B$14</c:f>
              <c:strCache>
                <c:ptCount val="3"/>
                <c:pt idx="0">
                  <c:v>5.1 Liderazgo y compromiso</c:v>
                </c:pt>
                <c:pt idx="1">
                  <c:v>5.2 Política ambiental</c:v>
                </c:pt>
                <c:pt idx="2">
                  <c:v>5.3 Roles, responsabilidades y autoridades en la organización</c:v>
                </c:pt>
              </c:strCache>
            </c:strRef>
          </c:cat>
          <c:val>
            <c:numRef>
              <c:f>'ANÁLISIS 5'!$I$12:$I$14</c:f>
              <c:numCache>
                <c:formatCode>#,##0</c:formatCode>
                <c:ptCount val="3"/>
                <c:pt idx="0">
                  <c:v>0</c:v>
                </c:pt>
                <c:pt idx="1">
                  <c:v>0</c:v>
                </c:pt>
                <c:pt idx="2">
                  <c:v>0</c:v>
                </c:pt>
              </c:numCache>
            </c:numRef>
          </c:val>
          <c:extLst>
            <c:ext xmlns:c16="http://schemas.microsoft.com/office/drawing/2014/chart" uri="{C3380CC4-5D6E-409C-BE32-E72D297353CC}">
              <c16:uniqueId val="{00000000-8C39-448E-AA04-CE886395E015}"/>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spPr>
    <a:solidFill>
      <a:schemeClr val="bg1"/>
    </a:solidFill>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1" i="0" strike="noStrike" kern="1200" baseline="0">
                <a:solidFill>
                  <a:schemeClr val="dk1">
                    <a:lumMod val="75000"/>
                    <a:lumOff val="25000"/>
                  </a:schemeClr>
                </a:solidFill>
                <a:latin typeface="Times New Roman" panose="02020603050405020304" pitchFamily="18" charset="0"/>
                <a:ea typeface="+mn-ea"/>
                <a:cs typeface="Times New Roman" panose="02020603050405020304" pitchFamily="18" charset="0"/>
              </a:defRPr>
            </a:pPr>
            <a:r>
              <a:rPr lang="es-PE" sz="1000" b="1">
                <a:latin typeface="Times New Roman" panose="02020603050405020304" pitchFamily="18" charset="0"/>
                <a:cs typeface="Times New Roman" panose="02020603050405020304" pitchFamily="18" charset="0"/>
              </a:rPr>
              <a:t>Porcentaje de valores de cumplimiento y numerales de CLÁUSULA 5</a:t>
            </a:r>
            <a:endParaRPr lang="es-PE" sz="1000">
              <a:latin typeface="Times New Roman" panose="02020603050405020304" pitchFamily="18" charset="0"/>
              <a:cs typeface="Times New Roman" panose="02020603050405020304" pitchFamily="18" charset="0"/>
            </a:endParaRP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0FA6-4599-A290-1F22AECF0734}"/>
              </c:ext>
            </c:extLst>
          </c:dPt>
          <c:dPt>
            <c:idx val="1"/>
            <c:bubble3D val="0"/>
            <c:spPr>
              <a:solidFill>
                <a:schemeClr val="accent2"/>
              </a:solidFill>
              <a:ln>
                <a:noFill/>
                <a:prstDash val="solid"/>
              </a:ln>
            </c:spPr>
            <c:extLst>
              <c:ext xmlns:c16="http://schemas.microsoft.com/office/drawing/2014/chart" uri="{C3380CC4-5D6E-409C-BE32-E72D297353CC}">
                <c16:uniqueId val="{00000003-0FA6-4599-A290-1F22AECF0734}"/>
              </c:ext>
            </c:extLst>
          </c:dPt>
          <c:dPt>
            <c:idx val="2"/>
            <c:bubble3D val="0"/>
            <c:spPr>
              <a:solidFill>
                <a:schemeClr val="accent3"/>
              </a:solidFill>
              <a:ln>
                <a:noFill/>
                <a:prstDash val="solid"/>
              </a:ln>
            </c:spPr>
            <c:extLst>
              <c:ext xmlns:c16="http://schemas.microsoft.com/office/drawing/2014/chart" uri="{C3380CC4-5D6E-409C-BE32-E72D297353CC}">
                <c16:uniqueId val="{00000005-0FA6-4599-A290-1F22AECF0734}"/>
              </c:ext>
            </c:extLst>
          </c:dPt>
          <c:dPt>
            <c:idx val="3"/>
            <c:bubble3D val="0"/>
            <c:spPr>
              <a:solidFill>
                <a:schemeClr val="accent4"/>
              </a:solidFill>
              <a:ln>
                <a:noFill/>
                <a:prstDash val="solid"/>
              </a:ln>
            </c:spPr>
            <c:extLst>
              <c:ext xmlns:c16="http://schemas.microsoft.com/office/drawing/2014/chart" uri="{C3380CC4-5D6E-409C-BE32-E72D297353CC}">
                <c16:uniqueId val="{00000007-0FA6-4599-A290-1F22AECF0734}"/>
              </c:ext>
            </c:extLst>
          </c:dPt>
          <c:dPt>
            <c:idx val="4"/>
            <c:bubble3D val="0"/>
            <c:spPr>
              <a:solidFill>
                <a:schemeClr val="accent5"/>
              </a:solidFill>
              <a:ln>
                <a:noFill/>
                <a:prstDash val="solid"/>
              </a:ln>
            </c:spPr>
            <c:extLst>
              <c:ext xmlns:c16="http://schemas.microsoft.com/office/drawing/2014/chart" uri="{C3380CC4-5D6E-409C-BE32-E72D297353CC}">
                <c16:uniqueId val="{00000009-0FA6-4599-A290-1F22AECF0734}"/>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419"/>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5'!$C$10:$G$10</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5'!$C$15:$G$15</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0FA6-4599-A290-1F22AECF0734}"/>
            </c:ext>
          </c:extLst>
        </c:ser>
        <c:dLbls>
          <c:showLegendKey val="0"/>
          <c:showVal val="0"/>
          <c:showCatName val="0"/>
          <c:showSerName val="0"/>
          <c:showPercent val="1"/>
          <c:showBubbleSize val="0"/>
          <c:showLeaderLines val="1"/>
        </c:dLbls>
        <c:firstSliceAng val="0"/>
      </c:pieChart>
    </c:plotArea>
    <c:legend>
      <c:legendPos val="r"/>
      <c:overlay val="0"/>
      <c:spPr>
        <a:solidFill>
          <a:schemeClr val="lt1">
            <a:alpha val="39000"/>
            <a:lumMod val="95000"/>
          </a:schemeClr>
        </a:solidFill>
        <a:ln>
          <a:noFill/>
          <a:prstDash val="solid"/>
        </a:ln>
      </c:spPr>
      <c:txPr>
        <a:bodyPr rot="0" spcFirstLastPara="1" vertOverflow="ellipsis" vert="horz" wrap="square" anchor="ctr" anchorCtr="1"/>
        <a:lstStyle/>
        <a:p>
          <a:pPr rtl="0">
            <a:defRPr sz="900" b="0" i="0" strike="noStrike" kern="1200" baseline="0">
              <a:solidFill>
                <a:schemeClr val="dk1">
                  <a:lumMod val="75000"/>
                  <a:lumOff val="25000"/>
                </a:schemeClr>
              </a:solidFill>
              <a:latin typeface="+mn-lt"/>
              <a:ea typeface="+mn-ea"/>
              <a:cs typeface="+mn-cs"/>
            </a:defRPr>
          </a:pPr>
          <a:endParaRPr lang="es-419"/>
        </a:p>
      </c:txPr>
    </c:legend>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a:latin typeface="Times New Roman" panose="02020603050405020304" pitchFamily="18" charset="0"/>
                <a:cs typeface="Times New Roman" panose="02020603050405020304" pitchFamily="18" charset="0"/>
              </a:defRPr>
            </a:pPr>
            <a:r>
              <a:rPr lang="en-US" sz="1000">
                <a:latin typeface="Times New Roman" panose="02020603050405020304" pitchFamily="18" charset="0"/>
                <a:cs typeface="Times New Roman" panose="02020603050405020304" pitchFamily="18" charset="0"/>
              </a:rPr>
              <a:t>Porcentaje de representatividad - Requisitos de Planificación</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6'!$B$12:$B$13</c:f>
              <c:strCache>
                <c:ptCount val="2"/>
                <c:pt idx="0">
                  <c:v>6.1 Acciones para abordar riesgos y oportunidades</c:v>
                </c:pt>
                <c:pt idx="1">
                  <c:v>6.2 Objetivos ambientales  y planificación para lograrlos</c:v>
                </c:pt>
              </c:strCache>
            </c:strRef>
          </c:cat>
          <c:val>
            <c:numRef>
              <c:f>'ANÁLISIS 6'!$I$12:$I$13</c:f>
              <c:numCache>
                <c:formatCode>#,##0</c:formatCode>
                <c:ptCount val="2"/>
                <c:pt idx="0">
                  <c:v>0</c:v>
                </c:pt>
                <c:pt idx="1">
                  <c:v>0</c:v>
                </c:pt>
              </c:numCache>
            </c:numRef>
          </c:val>
          <c:extLst>
            <c:ext xmlns:c16="http://schemas.microsoft.com/office/drawing/2014/chart" uri="{C3380CC4-5D6E-409C-BE32-E72D297353CC}">
              <c16:uniqueId val="{00000000-A506-4BA3-A854-D347FCC43EFC}"/>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s-PE" sz="1000" b="1" i="0" strike="noStrike" baseline="0">
                <a:latin typeface="Times New Roman" panose="02020603050405020304" pitchFamily="18" charset="0"/>
                <a:cs typeface="Times New Roman" panose="02020603050405020304" pitchFamily="18" charset="0"/>
              </a:rPr>
              <a:t>Porcentaje de valores de cumplimiento y numerales de CLÁUSULA 6</a:t>
            </a:r>
            <a:r>
              <a:rPr lang="es-PE" sz="1000">
                <a:latin typeface="Times New Roman" panose="02020603050405020304" pitchFamily="18" charset="0"/>
                <a:cs typeface="Times New Roman" panose="02020603050405020304" pitchFamily="18" charset="0"/>
              </a:rPr>
              <a:t> </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C038-461E-8CDF-B04C320D3883}"/>
              </c:ext>
            </c:extLst>
          </c:dPt>
          <c:dPt>
            <c:idx val="1"/>
            <c:bubble3D val="0"/>
            <c:spPr>
              <a:solidFill>
                <a:schemeClr val="accent2"/>
              </a:solidFill>
              <a:ln>
                <a:noFill/>
                <a:prstDash val="solid"/>
              </a:ln>
            </c:spPr>
            <c:extLst>
              <c:ext xmlns:c16="http://schemas.microsoft.com/office/drawing/2014/chart" uri="{C3380CC4-5D6E-409C-BE32-E72D297353CC}">
                <c16:uniqueId val="{00000003-C038-461E-8CDF-B04C320D3883}"/>
              </c:ext>
            </c:extLst>
          </c:dPt>
          <c:dPt>
            <c:idx val="2"/>
            <c:bubble3D val="0"/>
            <c:spPr>
              <a:solidFill>
                <a:schemeClr val="accent3"/>
              </a:solidFill>
              <a:ln>
                <a:noFill/>
                <a:prstDash val="solid"/>
              </a:ln>
            </c:spPr>
            <c:extLst>
              <c:ext xmlns:c16="http://schemas.microsoft.com/office/drawing/2014/chart" uri="{C3380CC4-5D6E-409C-BE32-E72D297353CC}">
                <c16:uniqueId val="{00000005-C038-461E-8CDF-B04C320D3883}"/>
              </c:ext>
            </c:extLst>
          </c:dPt>
          <c:dPt>
            <c:idx val="3"/>
            <c:bubble3D val="0"/>
            <c:spPr>
              <a:solidFill>
                <a:schemeClr val="accent4"/>
              </a:solidFill>
              <a:ln>
                <a:noFill/>
                <a:prstDash val="solid"/>
              </a:ln>
            </c:spPr>
            <c:extLst>
              <c:ext xmlns:c16="http://schemas.microsoft.com/office/drawing/2014/chart" uri="{C3380CC4-5D6E-409C-BE32-E72D297353CC}">
                <c16:uniqueId val="{00000007-C038-461E-8CDF-B04C320D3883}"/>
              </c:ext>
            </c:extLst>
          </c:dPt>
          <c:dPt>
            <c:idx val="4"/>
            <c:bubble3D val="0"/>
            <c:spPr>
              <a:solidFill>
                <a:schemeClr val="accent5"/>
              </a:solidFill>
              <a:ln>
                <a:noFill/>
                <a:prstDash val="solid"/>
              </a:ln>
            </c:spPr>
            <c:extLst>
              <c:ext xmlns:c16="http://schemas.microsoft.com/office/drawing/2014/chart" uri="{C3380CC4-5D6E-409C-BE32-E72D297353CC}">
                <c16:uniqueId val="{00000009-C038-461E-8CDF-B04C320D3883}"/>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419"/>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6'!$C$10:$G$10</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6'!$C$14:$G$14</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C038-461E-8CDF-B04C320D3883}"/>
            </c:ext>
          </c:extLst>
        </c:ser>
        <c:dLbls>
          <c:showLegendKey val="0"/>
          <c:showVal val="0"/>
          <c:showCatName val="0"/>
          <c:showSerName val="0"/>
          <c:showPercent val="1"/>
          <c:showBubbleSize val="0"/>
          <c:showLeaderLines val="1"/>
        </c:dLbls>
        <c:firstSliceAng val="0"/>
      </c:pieChart>
    </c:plotArea>
    <c:legend>
      <c:legendPos val="r"/>
      <c:overlay val="0"/>
      <c:spPr>
        <a:solidFill>
          <a:schemeClr val="lt1">
            <a:alpha val="39000"/>
            <a:lumMod val="95000"/>
          </a:schemeClr>
        </a:solidFill>
        <a:ln>
          <a:noFill/>
          <a:prstDash val="solid"/>
        </a:ln>
      </c:spPr>
      <c: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endParaRPr lang="es-419"/>
        </a:p>
      </c:txPr>
    </c:legend>
    <c:plotVisOnly val="1"/>
    <c:dispBlanksAs val="gap"/>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a:latin typeface="Times New Roman" panose="02020603050405020304" pitchFamily="18" charset="0"/>
                <a:cs typeface="Times New Roman" panose="02020603050405020304" pitchFamily="18" charset="0"/>
              </a:defRPr>
            </a:pPr>
            <a:r>
              <a:rPr lang="en-US" sz="1000">
                <a:latin typeface="Times New Roman" panose="02020603050405020304" pitchFamily="18" charset="0"/>
                <a:cs typeface="Times New Roman" panose="02020603050405020304" pitchFamily="18" charset="0"/>
              </a:rPr>
              <a:t>Porcentaje de representatividad - Requisitos de Apoyo</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7'!$B$12:$B$16</c:f>
              <c:strCache>
                <c:ptCount val="5"/>
                <c:pt idx="0">
                  <c:v>7.1 Recursos</c:v>
                </c:pt>
                <c:pt idx="1">
                  <c:v>7.2 Competencia</c:v>
                </c:pt>
                <c:pt idx="2">
                  <c:v>7.3 Toma de conciencia y formación</c:v>
                </c:pt>
                <c:pt idx="3">
                  <c:v>7.4 Comunicación</c:v>
                </c:pt>
                <c:pt idx="4">
                  <c:v>7.5 Información documentada</c:v>
                </c:pt>
              </c:strCache>
            </c:strRef>
          </c:cat>
          <c:val>
            <c:numRef>
              <c:f>'ANÁLISIS 7'!$I$12:$I$16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E138-468F-9208-2C9BC5BC893C}"/>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b="1">
                <a:latin typeface="Times New Roman" panose="02020603050405020304" pitchFamily="18" charset="0"/>
                <a:cs typeface="Times New Roman" panose="02020603050405020304" pitchFamily="18" charset="0"/>
              </a:rPr>
              <a:t>Porcentaje de valores de cumplimiento y numerales de CLÁUSULA 7</a:t>
            </a:r>
            <a:endParaRPr lang="es-PE" sz="1000">
              <a:latin typeface="Times New Roman" panose="02020603050405020304" pitchFamily="18" charset="0"/>
              <a:cs typeface="Times New Roman" panose="02020603050405020304" pitchFamily="18" charset="0"/>
            </a:endParaRPr>
          </a:p>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a:latin typeface="Times New Roman" panose="02020603050405020304" pitchFamily="18" charset="0"/>
                <a:cs typeface="Times New Roman" panose="02020603050405020304" pitchFamily="18" charset="0"/>
              </a:rPr>
              <a:t> </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F0A9-4200-AF34-E6D0CCF0911C}"/>
              </c:ext>
            </c:extLst>
          </c:dPt>
          <c:dPt>
            <c:idx val="1"/>
            <c:bubble3D val="0"/>
            <c:spPr>
              <a:solidFill>
                <a:schemeClr val="accent2"/>
              </a:solidFill>
              <a:ln>
                <a:noFill/>
                <a:prstDash val="solid"/>
              </a:ln>
            </c:spPr>
            <c:extLst>
              <c:ext xmlns:c16="http://schemas.microsoft.com/office/drawing/2014/chart" uri="{C3380CC4-5D6E-409C-BE32-E72D297353CC}">
                <c16:uniqueId val="{00000003-F0A9-4200-AF34-E6D0CCF0911C}"/>
              </c:ext>
            </c:extLst>
          </c:dPt>
          <c:dPt>
            <c:idx val="2"/>
            <c:bubble3D val="0"/>
            <c:spPr>
              <a:solidFill>
                <a:schemeClr val="accent3"/>
              </a:solidFill>
              <a:ln>
                <a:noFill/>
                <a:prstDash val="solid"/>
              </a:ln>
            </c:spPr>
            <c:extLst>
              <c:ext xmlns:c16="http://schemas.microsoft.com/office/drawing/2014/chart" uri="{C3380CC4-5D6E-409C-BE32-E72D297353CC}">
                <c16:uniqueId val="{00000005-F0A9-4200-AF34-E6D0CCF0911C}"/>
              </c:ext>
            </c:extLst>
          </c:dPt>
          <c:dPt>
            <c:idx val="3"/>
            <c:bubble3D val="0"/>
            <c:spPr>
              <a:solidFill>
                <a:schemeClr val="accent4"/>
              </a:solidFill>
              <a:ln>
                <a:noFill/>
                <a:prstDash val="solid"/>
              </a:ln>
            </c:spPr>
            <c:extLst>
              <c:ext xmlns:c16="http://schemas.microsoft.com/office/drawing/2014/chart" uri="{C3380CC4-5D6E-409C-BE32-E72D297353CC}">
                <c16:uniqueId val="{00000007-F0A9-4200-AF34-E6D0CCF0911C}"/>
              </c:ext>
            </c:extLst>
          </c:dPt>
          <c:dPt>
            <c:idx val="4"/>
            <c:bubble3D val="0"/>
            <c:spPr>
              <a:solidFill>
                <a:schemeClr val="accent5"/>
              </a:solidFill>
              <a:ln>
                <a:noFill/>
                <a:prstDash val="solid"/>
              </a:ln>
            </c:spPr>
            <c:extLst>
              <c:ext xmlns:c16="http://schemas.microsoft.com/office/drawing/2014/chart" uri="{C3380CC4-5D6E-409C-BE32-E72D297353CC}">
                <c16:uniqueId val="{00000009-F0A9-4200-AF34-E6D0CCF0911C}"/>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419"/>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7'!$C$10:$G$10</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7'!$C$17:$G$17</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F0A9-4200-AF34-E6D0CCF0911C}"/>
            </c:ext>
          </c:extLst>
        </c:ser>
        <c:dLbls>
          <c:showLegendKey val="0"/>
          <c:showVal val="0"/>
          <c:showCatName val="0"/>
          <c:showSerName val="0"/>
          <c:showPercent val="1"/>
          <c:showBubbleSize val="0"/>
          <c:showLeaderLines val="1"/>
        </c:dLbls>
        <c:firstSliceAng val="0"/>
      </c:pieChart>
    </c:plotArea>
    <c:legend>
      <c:legendPos val="r"/>
      <c:overlay val="0"/>
      <c:spPr>
        <a:solidFill>
          <a:schemeClr val="lt1">
            <a:alpha val="39000"/>
            <a:lumMod val="95000"/>
          </a:schemeClr>
        </a:solidFill>
        <a:ln>
          <a:noFill/>
          <a:prstDash val="solid"/>
        </a:ln>
      </c:spPr>
      <c: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endParaRPr lang="es-419"/>
        </a:p>
      </c:txPr>
    </c:legend>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a:latin typeface="Times New Roman" panose="02020603050405020304" pitchFamily="18" charset="0"/>
                <a:cs typeface="Times New Roman" panose="02020603050405020304" pitchFamily="18" charset="0"/>
              </a:defRPr>
            </a:pPr>
            <a:r>
              <a:rPr lang="en-US" sz="1000">
                <a:latin typeface="Times New Roman" panose="02020603050405020304" pitchFamily="18" charset="0"/>
                <a:cs typeface="Times New Roman" panose="02020603050405020304" pitchFamily="18" charset="0"/>
              </a:rPr>
              <a:t>Porcentaje de representatividad - Requisitos de Operación</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8'!$B$11:$B$12</c:f>
              <c:strCache>
                <c:ptCount val="2"/>
                <c:pt idx="0">
                  <c:v>8.1 Planificación y control operacional</c:v>
                </c:pt>
                <c:pt idx="1">
                  <c:v>8.2 Preparación y respuesta ante emergencias</c:v>
                </c:pt>
              </c:strCache>
            </c:strRef>
          </c:cat>
          <c:val>
            <c:numRef>
              <c:f>'ANÁLISIS 8'!$I$11:$I$12</c:f>
              <c:numCache>
                <c:formatCode>#,##0</c:formatCode>
                <c:ptCount val="2"/>
                <c:pt idx="0">
                  <c:v>0</c:v>
                </c:pt>
                <c:pt idx="1">
                  <c:v>0</c:v>
                </c:pt>
              </c:numCache>
            </c:numRef>
          </c:val>
          <c:extLst>
            <c:ext xmlns:c16="http://schemas.microsoft.com/office/drawing/2014/chart" uri="{C3380CC4-5D6E-409C-BE32-E72D297353CC}">
              <c16:uniqueId val="{00000000-49C4-43C8-8062-890E7A2DEE6E}"/>
            </c:ext>
          </c:extLst>
        </c:ser>
        <c:dLbls>
          <c:showLegendKey val="0"/>
          <c:showVal val="0"/>
          <c:showCatName val="0"/>
          <c:showSerName val="0"/>
          <c:showPercent val="1"/>
          <c:showBubbleSize val="0"/>
          <c:showLeaderLines val="1"/>
        </c:dLbls>
        <c:firstSliceAng val="0"/>
      </c:pieChart>
    </c:plotArea>
    <c:legend>
      <c:legendPos val="r"/>
      <c:layout>
        <c:manualLayout>
          <c:xMode val="edge"/>
          <c:yMode val="edge"/>
          <c:x val="0.65250757015086125"/>
          <c:y val="7.8140596549306357E-2"/>
          <c:w val="0.33568875692851702"/>
          <c:h val="0.92185940345069362"/>
        </c:manualLayout>
      </c:layout>
      <c:overlay val="0"/>
      <c:txPr>
        <a:bodyPr/>
        <a:lstStyle/>
        <a:p>
          <a:pPr>
            <a:defRPr kern="600" baseline="0"/>
          </a:pPr>
          <a:endParaRPr lang="es-419"/>
        </a:p>
      </c:txPr>
    </c:legend>
    <c:plotVisOnly val="1"/>
    <c:dispBlanksAs val="gap"/>
    <c:showDLblsOverMax val="0"/>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b="1">
                <a:latin typeface="Times New Roman" panose="02020603050405020304" pitchFamily="18" charset="0"/>
                <a:cs typeface="Times New Roman" panose="02020603050405020304" pitchFamily="18" charset="0"/>
              </a:rPr>
              <a:t>Porcentaje de valores de cumplimiento y numerales de CLÁUSULA 8</a:t>
            </a:r>
            <a:endParaRPr lang="es-PE" sz="1000">
              <a:latin typeface="Times New Roman" panose="02020603050405020304" pitchFamily="18" charset="0"/>
              <a:cs typeface="Times New Roman" panose="02020603050405020304" pitchFamily="18" charset="0"/>
            </a:endParaRPr>
          </a:p>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a:latin typeface="Times New Roman" panose="02020603050405020304" pitchFamily="18" charset="0"/>
                <a:cs typeface="Times New Roman" panose="02020603050405020304" pitchFamily="18" charset="0"/>
              </a:rPr>
              <a:t> </a:t>
            </a:r>
          </a:p>
        </c:rich>
      </c:tx>
      <c:layout>
        <c:manualLayout>
          <c:xMode val="edge"/>
          <c:yMode val="edge"/>
          <c:x val="0.20248040683019705"/>
          <c:y val="2.8668933761469454E-2"/>
        </c:manualLayout>
      </c:layout>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28A0-4D50-8832-27611CAE4CC9}"/>
              </c:ext>
            </c:extLst>
          </c:dPt>
          <c:dPt>
            <c:idx val="1"/>
            <c:bubble3D val="0"/>
            <c:spPr>
              <a:solidFill>
                <a:schemeClr val="accent2"/>
              </a:solidFill>
              <a:ln>
                <a:noFill/>
                <a:prstDash val="solid"/>
              </a:ln>
            </c:spPr>
            <c:extLst>
              <c:ext xmlns:c16="http://schemas.microsoft.com/office/drawing/2014/chart" uri="{C3380CC4-5D6E-409C-BE32-E72D297353CC}">
                <c16:uniqueId val="{00000003-28A0-4D50-8832-27611CAE4CC9}"/>
              </c:ext>
            </c:extLst>
          </c:dPt>
          <c:dPt>
            <c:idx val="2"/>
            <c:bubble3D val="0"/>
            <c:spPr>
              <a:solidFill>
                <a:schemeClr val="accent3"/>
              </a:solidFill>
              <a:ln>
                <a:noFill/>
                <a:prstDash val="solid"/>
              </a:ln>
            </c:spPr>
            <c:extLst>
              <c:ext xmlns:c16="http://schemas.microsoft.com/office/drawing/2014/chart" uri="{C3380CC4-5D6E-409C-BE32-E72D297353CC}">
                <c16:uniqueId val="{00000005-28A0-4D50-8832-27611CAE4CC9}"/>
              </c:ext>
            </c:extLst>
          </c:dPt>
          <c:dPt>
            <c:idx val="3"/>
            <c:bubble3D val="0"/>
            <c:spPr>
              <a:solidFill>
                <a:schemeClr val="accent4"/>
              </a:solidFill>
              <a:ln>
                <a:noFill/>
                <a:prstDash val="solid"/>
              </a:ln>
            </c:spPr>
            <c:extLst>
              <c:ext xmlns:c16="http://schemas.microsoft.com/office/drawing/2014/chart" uri="{C3380CC4-5D6E-409C-BE32-E72D297353CC}">
                <c16:uniqueId val="{00000007-28A0-4D50-8832-27611CAE4CC9}"/>
              </c:ext>
            </c:extLst>
          </c:dPt>
          <c:dPt>
            <c:idx val="4"/>
            <c:bubble3D val="0"/>
            <c:spPr>
              <a:solidFill>
                <a:schemeClr val="accent5"/>
              </a:solidFill>
              <a:ln>
                <a:noFill/>
                <a:prstDash val="solid"/>
              </a:ln>
            </c:spPr>
            <c:extLst>
              <c:ext xmlns:c16="http://schemas.microsoft.com/office/drawing/2014/chart" uri="{C3380CC4-5D6E-409C-BE32-E72D297353CC}">
                <c16:uniqueId val="{00000009-28A0-4D50-8832-27611CAE4CC9}"/>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419"/>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8'!$C$9:$G$9</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8'!$C$13:$G$13</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28A0-4D50-8832-27611CAE4CC9}"/>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a:latin typeface="Times New Roman" panose="02020603050405020304" pitchFamily="18" charset="0"/>
                <a:cs typeface="Times New Roman" panose="02020603050405020304" pitchFamily="18" charset="0"/>
              </a:defRPr>
            </a:pPr>
            <a:r>
              <a:rPr lang="en-US" sz="1000">
                <a:latin typeface="Times New Roman" panose="02020603050405020304" pitchFamily="18" charset="0"/>
                <a:cs typeface="Times New Roman" panose="02020603050405020304" pitchFamily="18" charset="0"/>
              </a:rPr>
              <a:t>Porcentaje de representatividad-Requisitos de Evaluación de Desempeño</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9'!$B$13:$B$15</c:f>
              <c:strCache>
                <c:ptCount val="3"/>
                <c:pt idx="0">
                  <c:v>9.1 Seguimiento, medición, análisis y evaluación</c:v>
                </c:pt>
                <c:pt idx="1">
                  <c:v>9.2 Auditoría interna</c:v>
                </c:pt>
                <c:pt idx="2">
                  <c:v>9.3 Revisión por la dirección</c:v>
                </c:pt>
              </c:strCache>
            </c:strRef>
          </c:cat>
          <c:val>
            <c:numRef>
              <c:f>'ANÁLISIS 9'!$I$13:$I$15</c:f>
              <c:numCache>
                <c:formatCode>#,##0</c:formatCode>
                <c:ptCount val="3"/>
                <c:pt idx="0">
                  <c:v>0</c:v>
                </c:pt>
                <c:pt idx="1">
                  <c:v>0</c:v>
                </c:pt>
                <c:pt idx="2">
                  <c:v>0</c:v>
                </c:pt>
              </c:numCache>
            </c:numRef>
          </c:val>
          <c:extLst>
            <c:ext xmlns:c16="http://schemas.microsoft.com/office/drawing/2014/chart" uri="{C3380CC4-5D6E-409C-BE32-E72D297353CC}">
              <c16:uniqueId val="{00000000-F201-4A88-B7BF-440146B91646}"/>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b="1">
                <a:latin typeface="Times New Roman" panose="02020603050405020304" pitchFamily="18" charset="0"/>
                <a:cs typeface="Times New Roman" panose="02020603050405020304" pitchFamily="18" charset="0"/>
              </a:rPr>
              <a:t>Porcentaje de valores de cumplimiento y numerales de CLÁUSULA 9</a:t>
            </a:r>
            <a:endParaRPr lang="es-PE" sz="1000">
              <a:latin typeface="Times New Roman" panose="02020603050405020304" pitchFamily="18" charset="0"/>
              <a:cs typeface="Times New Roman" panose="02020603050405020304" pitchFamily="18" charset="0"/>
            </a:endParaRPr>
          </a:p>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a:latin typeface="Times New Roman" panose="02020603050405020304" pitchFamily="18" charset="0"/>
                <a:cs typeface="Times New Roman" panose="02020603050405020304" pitchFamily="18" charset="0"/>
              </a:rPr>
              <a:t> </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5175-4A53-930F-3E0BD23FC338}"/>
              </c:ext>
            </c:extLst>
          </c:dPt>
          <c:dPt>
            <c:idx val="1"/>
            <c:bubble3D val="0"/>
            <c:spPr>
              <a:solidFill>
                <a:schemeClr val="accent2"/>
              </a:solidFill>
              <a:ln>
                <a:noFill/>
                <a:prstDash val="solid"/>
              </a:ln>
            </c:spPr>
            <c:extLst>
              <c:ext xmlns:c16="http://schemas.microsoft.com/office/drawing/2014/chart" uri="{C3380CC4-5D6E-409C-BE32-E72D297353CC}">
                <c16:uniqueId val="{00000003-5175-4A53-930F-3E0BD23FC338}"/>
              </c:ext>
            </c:extLst>
          </c:dPt>
          <c:dPt>
            <c:idx val="2"/>
            <c:bubble3D val="0"/>
            <c:spPr>
              <a:solidFill>
                <a:schemeClr val="accent3"/>
              </a:solidFill>
              <a:ln>
                <a:noFill/>
                <a:prstDash val="solid"/>
              </a:ln>
            </c:spPr>
            <c:extLst>
              <c:ext xmlns:c16="http://schemas.microsoft.com/office/drawing/2014/chart" uri="{C3380CC4-5D6E-409C-BE32-E72D297353CC}">
                <c16:uniqueId val="{00000005-5175-4A53-930F-3E0BD23FC338}"/>
              </c:ext>
            </c:extLst>
          </c:dPt>
          <c:dPt>
            <c:idx val="3"/>
            <c:bubble3D val="0"/>
            <c:spPr>
              <a:solidFill>
                <a:schemeClr val="accent4"/>
              </a:solidFill>
              <a:ln>
                <a:noFill/>
                <a:prstDash val="solid"/>
              </a:ln>
            </c:spPr>
            <c:extLst>
              <c:ext xmlns:c16="http://schemas.microsoft.com/office/drawing/2014/chart" uri="{C3380CC4-5D6E-409C-BE32-E72D297353CC}">
                <c16:uniqueId val="{00000007-5175-4A53-930F-3E0BD23FC338}"/>
              </c:ext>
            </c:extLst>
          </c:dPt>
          <c:dPt>
            <c:idx val="4"/>
            <c:bubble3D val="0"/>
            <c:spPr>
              <a:solidFill>
                <a:schemeClr val="accent5"/>
              </a:solidFill>
              <a:ln>
                <a:noFill/>
                <a:prstDash val="solid"/>
              </a:ln>
            </c:spPr>
            <c:extLst>
              <c:ext xmlns:c16="http://schemas.microsoft.com/office/drawing/2014/chart" uri="{C3380CC4-5D6E-409C-BE32-E72D297353CC}">
                <c16:uniqueId val="{00000009-5175-4A53-930F-3E0BD23FC338}"/>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419"/>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9'!$C$11:$G$11</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9'!$C$16:$G$16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5175-4A53-930F-3E0BD23FC338}"/>
            </c:ext>
          </c:extLst>
        </c:ser>
        <c:dLbls>
          <c:showLegendKey val="0"/>
          <c:showVal val="0"/>
          <c:showCatName val="0"/>
          <c:showSerName val="0"/>
          <c:showPercent val="1"/>
          <c:showBubbleSize val="0"/>
          <c:showLeaderLines val="1"/>
        </c:dLbls>
        <c:firstSliceAng val="0"/>
      </c:pieChart>
    </c:plotArea>
    <c:legend>
      <c:legendPos val="r"/>
      <c:overlay val="0"/>
      <c:spPr>
        <a:solidFill>
          <a:schemeClr val="lt1">
            <a:alpha val="39000"/>
            <a:lumMod val="95000"/>
          </a:schemeClr>
        </a:solidFill>
        <a:ln>
          <a:noFill/>
          <a:prstDash val="solid"/>
        </a:ln>
      </c:spPr>
      <c: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endParaRPr lang="es-419"/>
        </a:p>
      </c:txPr>
    </c:legend>
    <c:plotVisOnly val="1"/>
    <c:dispBlanksAs val="gap"/>
    <c:showDLblsOverMax val="0"/>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00">
                <a:latin typeface="Times New Roman" panose="02020603050405020304" pitchFamily="18" charset="0"/>
                <a:cs typeface="Times New Roman" panose="02020603050405020304" pitchFamily="18" charset="0"/>
              </a:defRPr>
            </a:pPr>
            <a:r>
              <a:rPr lang="es-PE" sz="1100">
                <a:latin typeface="Times New Roman" panose="02020603050405020304" pitchFamily="18" charset="0"/>
                <a:cs typeface="Times New Roman" panose="02020603050405020304" pitchFamily="18" charset="0"/>
              </a:rPr>
              <a:t>Porcentaje de representatividad</a:t>
            </a:r>
            <a:r>
              <a:rPr lang="es-PE" sz="1100" baseline="0">
                <a:latin typeface="Times New Roman" panose="02020603050405020304" pitchFamily="18" charset="0"/>
                <a:cs typeface="Times New Roman" panose="02020603050405020304" pitchFamily="18" charset="0"/>
              </a:rPr>
              <a:t> - Requisitos de Mejora</a:t>
            </a:r>
          </a:p>
        </c:rich>
      </c:tx>
      <c:overlay val="0"/>
    </c:title>
    <c:autoTitleDeleted val="0"/>
    <c:plotArea>
      <c:layout>
        <c:manualLayout>
          <c:layoutTarget val="inner"/>
          <c:xMode val="edge"/>
          <c:yMode val="edge"/>
          <c:x val="0.1333714547817445"/>
          <c:y val="0.17592815323975253"/>
          <c:w val="0.45905644318732003"/>
          <c:h val="0.71086723603121715"/>
        </c:manualLayout>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10'!$B$12:$B$13</c:f>
              <c:strCache>
                <c:ptCount val="2"/>
                <c:pt idx="0">
                  <c:v>10.1 Generalidades</c:v>
                </c:pt>
                <c:pt idx="1">
                  <c:v>10.2 No conformidad y acción correctiva</c:v>
                </c:pt>
              </c:strCache>
            </c:strRef>
          </c:cat>
          <c:val>
            <c:numRef>
              <c:f>'ANÁLISIS 10'!$I$12:$I$13</c:f>
              <c:numCache>
                <c:formatCode>#,##0</c:formatCode>
                <c:ptCount val="2"/>
                <c:pt idx="0">
                  <c:v>0</c:v>
                </c:pt>
                <c:pt idx="1">
                  <c:v>0</c:v>
                </c:pt>
              </c:numCache>
            </c:numRef>
          </c:val>
          <c:extLst>
            <c:ext xmlns:c16="http://schemas.microsoft.com/office/drawing/2014/chart" uri="{C3380CC4-5D6E-409C-BE32-E72D297353CC}">
              <c16:uniqueId val="{00000000-B028-4A3F-A55C-EAF7344A0D74}"/>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b="1">
                <a:latin typeface="Times New Roman" panose="02020603050405020304" pitchFamily="18" charset="0"/>
                <a:cs typeface="Times New Roman" panose="02020603050405020304" pitchFamily="18" charset="0"/>
              </a:rPr>
              <a:t>Porcentaje de valores de cumplimiento y numerales de CLÁUSULA 10</a:t>
            </a:r>
            <a:endParaRPr lang="es-PE" sz="1000">
              <a:latin typeface="Times New Roman" panose="02020603050405020304" pitchFamily="18" charset="0"/>
              <a:cs typeface="Times New Roman" panose="02020603050405020304" pitchFamily="18" charset="0"/>
            </a:endParaRPr>
          </a:p>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a:latin typeface="Times New Roman" panose="02020603050405020304" pitchFamily="18" charset="0"/>
                <a:cs typeface="Times New Roman" panose="02020603050405020304" pitchFamily="18" charset="0"/>
              </a:rPr>
              <a:t> </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E012-4D5E-A7CE-DE09C31E8253}"/>
              </c:ext>
            </c:extLst>
          </c:dPt>
          <c:dPt>
            <c:idx val="1"/>
            <c:bubble3D val="0"/>
            <c:spPr>
              <a:solidFill>
                <a:schemeClr val="accent2"/>
              </a:solidFill>
              <a:ln>
                <a:noFill/>
                <a:prstDash val="solid"/>
              </a:ln>
            </c:spPr>
            <c:extLst>
              <c:ext xmlns:c16="http://schemas.microsoft.com/office/drawing/2014/chart" uri="{C3380CC4-5D6E-409C-BE32-E72D297353CC}">
                <c16:uniqueId val="{00000003-E012-4D5E-A7CE-DE09C31E8253}"/>
              </c:ext>
            </c:extLst>
          </c:dPt>
          <c:dPt>
            <c:idx val="2"/>
            <c:bubble3D val="0"/>
            <c:spPr>
              <a:solidFill>
                <a:schemeClr val="accent3"/>
              </a:solidFill>
              <a:ln>
                <a:noFill/>
                <a:prstDash val="solid"/>
              </a:ln>
            </c:spPr>
            <c:extLst>
              <c:ext xmlns:c16="http://schemas.microsoft.com/office/drawing/2014/chart" uri="{C3380CC4-5D6E-409C-BE32-E72D297353CC}">
                <c16:uniqueId val="{00000005-E012-4D5E-A7CE-DE09C31E8253}"/>
              </c:ext>
            </c:extLst>
          </c:dPt>
          <c:dPt>
            <c:idx val="3"/>
            <c:bubble3D val="0"/>
            <c:spPr>
              <a:solidFill>
                <a:schemeClr val="accent4"/>
              </a:solidFill>
              <a:ln>
                <a:noFill/>
                <a:prstDash val="solid"/>
              </a:ln>
            </c:spPr>
            <c:extLst>
              <c:ext xmlns:c16="http://schemas.microsoft.com/office/drawing/2014/chart" uri="{C3380CC4-5D6E-409C-BE32-E72D297353CC}">
                <c16:uniqueId val="{00000007-E012-4D5E-A7CE-DE09C31E8253}"/>
              </c:ext>
            </c:extLst>
          </c:dPt>
          <c:dPt>
            <c:idx val="4"/>
            <c:bubble3D val="0"/>
            <c:spPr>
              <a:solidFill>
                <a:schemeClr val="accent5"/>
              </a:solidFill>
              <a:ln>
                <a:noFill/>
                <a:prstDash val="solid"/>
              </a:ln>
            </c:spPr>
            <c:extLst>
              <c:ext xmlns:c16="http://schemas.microsoft.com/office/drawing/2014/chart" uri="{C3380CC4-5D6E-409C-BE32-E72D297353CC}">
                <c16:uniqueId val="{00000009-E012-4D5E-A7CE-DE09C31E8253}"/>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419"/>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10'!$C$10:$G$10</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10'!$C$15:$G$15</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E012-4D5E-A7CE-DE09C31E8253}"/>
            </c:ext>
          </c:extLst>
        </c:ser>
        <c:dLbls>
          <c:showLegendKey val="0"/>
          <c:showVal val="0"/>
          <c:showCatName val="0"/>
          <c:showSerName val="0"/>
          <c:showPercent val="1"/>
          <c:showBubbleSize val="0"/>
          <c:showLeaderLines val="1"/>
        </c:dLbls>
        <c:firstSliceAng val="0"/>
      </c:pieChart>
    </c:plotArea>
    <c:legend>
      <c:legendPos val="r"/>
      <c:overlay val="0"/>
      <c:spPr>
        <a:solidFill>
          <a:schemeClr val="lt1">
            <a:alpha val="39000"/>
            <a:lumMod val="95000"/>
          </a:schemeClr>
        </a:solidFill>
        <a:ln>
          <a:noFill/>
          <a:prstDash val="solid"/>
        </a:ln>
      </c:spPr>
      <c: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endParaRPr lang="es-419"/>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xdr:from>
      <xdr:col>11</xdr:col>
      <xdr:colOff>13137</xdr:colOff>
      <xdr:row>19</xdr:row>
      <xdr:rowOff>22857</xdr:rowOff>
    </xdr:from>
    <xdr:to>
      <xdr:col>14</xdr:col>
      <xdr:colOff>47625</xdr:colOff>
      <xdr:row>37</xdr:row>
      <xdr:rowOff>99494</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26004</xdr:colOff>
      <xdr:row>40</xdr:row>
      <xdr:rowOff>60982</xdr:rowOff>
    </xdr:from>
    <xdr:to>
      <xdr:col>14</xdr:col>
      <xdr:colOff>35720</xdr:colOff>
      <xdr:row>53</xdr:row>
      <xdr:rowOff>23812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755536</xdr:colOff>
      <xdr:row>19</xdr:row>
      <xdr:rowOff>156143</xdr:rowOff>
    </xdr:from>
    <xdr:to>
      <xdr:col>3</xdr:col>
      <xdr:colOff>272143</xdr:colOff>
      <xdr:row>35</xdr:row>
      <xdr:rowOff>81644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531360</xdr:colOff>
      <xdr:row>19</xdr:row>
      <xdr:rowOff>166348</xdr:rowOff>
    </xdr:from>
    <xdr:to>
      <xdr:col>10</xdr:col>
      <xdr:colOff>639536</xdr:colOff>
      <xdr:row>35</xdr:row>
      <xdr:rowOff>95251</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33336</xdr:colOff>
      <xdr:row>19</xdr:row>
      <xdr:rowOff>0</xdr:rowOff>
    </xdr:from>
    <xdr:to>
      <xdr:col>3</xdr:col>
      <xdr:colOff>190499</xdr:colOff>
      <xdr:row>35</xdr:row>
      <xdr:rowOff>47626</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416720</xdr:colOff>
      <xdr:row>19</xdr:row>
      <xdr:rowOff>23812</xdr:rowOff>
    </xdr:from>
    <xdr:to>
      <xdr:col>9</xdr:col>
      <xdr:colOff>642937</xdr:colOff>
      <xdr:row>35</xdr:row>
      <xdr:rowOff>47624</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757918</xdr:colOff>
      <xdr:row>19</xdr:row>
      <xdr:rowOff>172811</xdr:rowOff>
    </xdr:from>
    <xdr:to>
      <xdr:col>5</xdr:col>
      <xdr:colOff>81643</xdr:colOff>
      <xdr:row>37</xdr:row>
      <xdr:rowOff>149678</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380999</xdr:colOff>
      <xdr:row>20</xdr:row>
      <xdr:rowOff>27213</xdr:rowOff>
    </xdr:from>
    <xdr:to>
      <xdr:col>13</xdr:col>
      <xdr:colOff>54428</xdr:colOff>
      <xdr:row>37</xdr:row>
      <xdr:rowOff>176891</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43542</xdr:colOff>
      <xdr:row>21</xdr:row>
      <xdr:rowOff>59869</xdr:rowOff>
    </xdr:from>
    <xdr:to>
      <xdr:col>5</xdr:col>
      <xdr:colOff>136072</xdr:colOff>
      <xdr:row>39</xdr:row>
      <xdr:rowOff>95250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435429</xdr:colOff>
      <xdr:row>21</xdr:row>
      <xdr:rowOff>27215</xdr:rowOff>
    </xdr:from>
    <xdr:to>
      <xdr:col>12</xdr:col>
      <xdr:colOff>517073</xdr:colOff>
      <xdr:row>39</xdr:row>
      <xdr:rowOff>108858</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47625</xdr:colOff>
      <xdr:row>18</xdr:row>
      <xdr:rowOff>46265</xdr:rowOff>
    </xdr:from>
    <xdr:to>
      <xdr:col>6</xdr:col>
      <xdr:colOff>435428</xdr:colOff>
      <xdr:row>41</xdr:row>
      <xdr:rowOff>95250</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544284</xdr:colOff>
      <xdr:row>17</xdr:row>
      <xdr:rowOff>149677</xdr:rowOff>
    </xdr:from>
    <xdr:to>
      <xdr:col>15</xdr:col>
      <xdr:colOff>598714</xdr:colOff>
      <xdr:row>38</xdr:row>
      <xdr:rowOff>122464</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xdr:col>
      <xdr:colOff>48985</xdr:colOff>
      <xdr:row>20</xdr:row>
      <xdr:rowOff>59871</xdr:rowOff>
    </xdr:from>
    <xdr:to>
      <xdr:col>4</xdr:col>
      <xdr:colOff>734786</xdr:colOff>
      <xdr:row>38</xdr:row>
      <xdr:rowOff>27214</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409574</xdr:colOff>
      <xdr:row>20</xdr:row>
      <xdr:rowOff>61233</xdr:rowOff>
    </xdr:from>
    <xdr:to>
      <xdr:col>11</xdr:col>
      <xdr:colOff>503464</xdr:colOff>
      <xdr:row>38</xdr:row>
      <xdr:rowOff>1</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20410</xdr:colOff>
      <xdr:row>21</xdr:row>
      <xdr:rowOff>1</xdr:rowOff>
    </xdr:from>
    <xdr:to>
      <xdr:col>6</xdr:col>
      <xdr:colOff>81643</xdr:colOff>
      <xdr:row>39</xdr:row>
      <xdr:rowOff>163285</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707571</xdr:colOff>
      <xdr:row>21</xdr:row>
      <xdr:rowOff>13607</xdr:rowOff>
    </xdr:from>
    <xdr:to>
      <xdr:col>13</xdr:col>
      <xdr:colOff>693964</xdr:colOff>
      <xdr:row>40</xdr:row>
      <xdr:rowOff>0</xdr:rowOff>
    </xdr:to>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Tema de Office">
  <a:themeElements>
    <a:clrScheme name="Austin">
      <a:dk1>
        <a:sysClr val="windowText" lastClr="000000"/>
      </a:dk1>
      <a:lt1>
        <a:sysClr val="window" lastClr="FFFFFF"/>
      </a:lt1>
      <a:dk2>
        <a:srgbClr val="3E3D2D"/>
      </a:dk2>
      <a:lt2>
        <a:srgbClr val="CAF278"/>
      </a:lt2>
      <a:accent1>
        <a:srgbClr val="94C600"/>
      </a:accent1>
      <a:accent2>
        <a:srgbClr val="71685A"/>
      </a:accent2>
      <a:accent3>
        <a:srgbClr val="FF6700"/>
      </a:accent3>
      <a:accent4>
        <a:srgbClr val="909465"/>
      </a:accent4>
      <a:accent5>
        <a:srgbClr val="956B43"/>
      </a:accent5>
      <a:accent6>
        <a:srgbClr val="FEA022"/>
      </a:accent6>
      <a:hlink>
        <a:srgbClr val="E68200"/>
      </a:hlink>
      <a:folHlink>
        <a:srgbClr val="FFA94A"/>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10"/>
  <sheetViews>
    <sheetView showGridLines="0" zoomScaleNormal="100" workbookViewId="0">
      <selection activeCell="I6" sqref="I6"/>
    </sheetView>
  </sheetViews>
  <sheetFormatPr defaultColWidth="9.140625" defaultRowHeight="15" x14ac:dyDescent="0.25"/>
  <cols>
    <col min="2" max="2" width="29.140625" style="1" customWidth="1"/>
    <col min="3" max="3" width="41.85546875" style="1" customWidth="1"/>
    <col min="6" max="6" width="23.140625" bestFit="1" customWidth="1"/>
    <col min="7" max="7" width="17.140625" bestFit="1" customWidth="1"/>
  </cols>
  <sheetData>
    <row r="2" spans="2:7" ht="15.75" thickBot="1" x14ac:dyDescent="0.3"/>
    <row r="3" spans="2:7" ht="30.75" customHeight="1" thickBot="1" x14ac:dyDescent="0.3">
      <c r="B3" s="204" t="s">
        <v>0</v>
      </c>
      <c r="C3" s="205"/>
      <c r="F3" s="204" t="s">
        <v>96</v>
      </c>
      <c r="G3" s="205"/>
    </row>
    <row r="4" spans="2:7" ht="30.75" customHeight="1" thickBot="1" x14ac:dyDescent="0.3">
      <c r="B4" s="57" t="s">
        <v>1</v>
      </c>
      <c r="C4" s="58" t="s">
        <v>2</v>
      </c>
      <c r="F4" s="57" t="s">
        <v>1</v>
      </c>
      <c r="G4" s="58" t="s">
        <v>97</v>
      </c>
    </row>
    <row r="5" spans="2:7" ht="30.75" customHeight="1" x14ac:dyDescent="0.25">
      <c r="B5" s="55">
        <v>0</v>
      </c>
      <c r="C5" s="56" t="s">
        <v>3</v>
      </c>
      <c r="F5" s="55" t="s">
        <v>98</v>
      </c>
      <c r="G5" s="56" t="s">
        <v>99</v>
      </c>
    </row>
    <row r="6" spans="2:7" ht="30.75" customHeight="1" x14ac:dyDescent="0.25">
      <c r="B6" s="51">
        <v>0.25</v>
      </c>
      <c r="C6" s="52" t="s">
        <v>4</v>
      </c>
      <c r="F6" s="51" t="s">
        <v>100</v>
      </c>
      <c r="G6" s="52" t="s">
        <v>101</v>
      </c>
    </row>
    <row r="7" spans="2:7" ht="30.75" customHeight="1" x14ac:dyDescent="0.25">
      <c r="B7" s="51">
        <v>0.5</v>
      </c>
      <c r="C7" s="52" t="s">
        <v>5</v>
      </c>
      <c r="F7" s="51" t="s">
        <v>102</v>
      </c>
      <c r="G7" s="52" t="s">
        <v>103</v>
      </c>
    </row>
    <row r="8" spans="2:7" ht="30.75" customHeight="1" x14ac:dyDescent="0.25">
      <c r="B8" s="51">
        <v>0.75</v>
      </c>
      <c r="C8" s="52" t="s">
        <v>6</v>
      </c>
      <c r="F8" s="51" t="s">
        <v>104</v>
      </c>
      <c r="G8" s="52" t="s">
        <v>105</v>
      </c>
    </row>
    <row r="9" spans="2:7" ht="30.75" customHeight="1" thickBot="1" x14ac:dyDescent="0.3">
      <c r="B9" s="51">
        <v>1</v>
      </c>
      <c r="C9" s="52" t="s">
        <v>7</v>
      </c>
      <c r="F9" s="171">
        <v>1</v>
      </c>
      <c r="G9" s="173" t="s">
        <v>106</v>
      </c>
    </row>
    <row r="10" spans="2:7" ht="30.75" customHeight="1" thickBot="1" x14ac:dyDescent="0.3">
      <c r="B10" s="53" t="s">
        <v>8</v>
      </c>
      <c r="C10" s="54" t="s">
        <v>9</v>
      </c>
      <c r="F10" s="172"/>
    </row>
  </sheetData>
  <mergeCells count="2">
    <mergeCell ref="B3:C3"/>
    <mergeCell ref="F3:G3"/>
  </mergeCell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269"/>
  <sheetViews>
    <sheetView zoomScale="70" zoomScaleNormal="70" workbookViewId="0">
      <selection activeCell="L25" sqref="L25"/>
    </sheetView>
  </sheetViews>
  <sheetFormatPr defaultColWidth="11.42578125" defaultRowHeight="15" x14ac:dyDescent="0.2"/>
  <cols>
    <col min="1" max="1" width="77.42578125" style="174" customWidth="1"/>
    <col min="2" max="2" width="10.5703125" style="5" customWidth="1"/>
    <col min="3" max="3" width="11.42578125" style="2" customWidth="1"/>
    <col min="4" max="4" width="11.140625" style="2" customWidth="1"/>
    <col min="5" max="5" width="10.42578125" style="2" customWidth="1"/>
    <col min="6" max="6" width="10.7109375" style="2" customWidth="1"/>
    <col min="7" max="7" width="11.42578125" style="2" customWidth="1"/>
    <col min="8" max="8" width="25.5703125" style="2" customWidth="1"/>
    <col min="9" max="9" width="11.42578125" style="2" customWidth="1"/>
    <col min="10" max="16384" width="11.42578125" style="2"/>
  </cols>
  <sheetData>
    <row r="1" spans="1:8" ht="18.75" customHeight="1" thickBot="1" x14ac:dyDescent="0.3">
      <c r="A1" s="227" t="s">
        <v>138</v>
      </c>
      <c r="B1" s="228"/>
      <c r="C1" s="228"/>
      <c r="D1" s="228"/>
      <c r="E1" s="228"/>
      <c r="F1" s="228"/>
      <c r="G1" s="228"/>
      <c r="H1" s="228"/>
    </row>
    <row r="2" spans="1:8" ht="15.75" customHeight="1" thickTop="1" x14ac:dyDescent="0.2"/>
    <row r="3" spans="1:8" ht="15.75" customHeight="1" thickBot="1" x14ac:dyDescent="0.25">
      <c r="A3" s="175" t="s">
        <v>10</v>
      </c>
      <c r="B3" s="59"/>
      <c r="C3" s="61"/>
      <c r="D3" s="61"/>
      <c r="E3" s="61"/>
      <c r="F3" s="61"/>
      <c r="G3" s="61"/>
      <c r="H3" s="61"/>
    </row>
    <row r="4" spans="1:8" ht="15.75" customHeight="1" thickTop="1" x14ac:dyDescent="0.2">
      <c r="A4" s="176"/>
      <c r="B4" s="60"/>
      <c r="C4" s="5"/>
      <c r="D4" s="5"/>
      <c r="E4" s="5"/>
      <c r="F4" s="5"/>
      <c r="G4" s="5"/>
    </row>
    <row r="5" spans="1:8" ht="16.5" customHeight="1" thickBot="1" x14ac:dyDescent="0.25">
      <c r="A5" s="177" t="s">
        <v>11</v>
      </c>
      <c r="B5" s="62"/>
      <c r="C5" s="61"/>
      <c r="D5" s="61"/>
      <c r="E5" s="61"/>
      <c r="F5" s="61"/>
      <c r="G5" s="61"/>
      <c r="H5" s="61"/>
    </row>
    <row r="6" spans="1:8" ht="15.75" customHeight="1" thickTop="1" x14ac:dyDescent="0.2">
      <c r="A6" s="178"/>
      <c r="C6" s="5"/>
      <c r="D6" s="5"/>
      <c r="E6" s="5"/>
      <c r="F6" s="5"/>
      <c r="G6" s="5"/>
    </row>
    <row r="7" spans="1:8" ht="16.5" customHeight="1" thickBot="1" x14ac:dyDescent="0.25">
      <c r="A7" s="177" t="s">
        <v>12</v>
      </c>
      <c r="B7" s="62"/>
      <c r="C7" s="61"/>
      <c r="D7" s="61"/>
      <c r="E7" s="61"/>
      <c r="F7" s="61"/>
      <c r="G7" s="61"/>
      <c r="H7" s="61"/>
    </row>
    <row r="8" spans="1:8" ht="15" customHeight="1" thickTop="1" x14ac:dyDescent="0.2">
      <c r="A8" s="232" t="s">
        <v>139</v>
      </c>
      <c r="B8" s="232"/>
      <c r="C8" s="232"/>
      <c r="D8" s="232"/>
      <c r="E8" s="232"/>
      <c r="F8" s="232"/>
      <c r="G8" s="232"/>
      <c r="H8" s="232"/>
    </row>
    <row r="9" spans="1:8" x14ac:dyDescent="0.2">
      <c r="A9" s="232"/>
      <c r="B9" s="232"/>
      <c r="C9" s="232"/>
      <c r="D9" s="232"/>
      <c r="E9" s="232"/>
      <c r="F9" s="232"/>
      <c r="G9" s="232"/>
      <c r="H9" s="232"/>
    </row>
    <row r="10" spans="1:8" x14ac:dyDescent="0.2">
      <c r="A10" s="232"/>
      <c r="B10" s="232"/>
      <c r="C10" s="232"/>
      <c r="D10" s="232"/>
      <c r="E10" s="232"/>
      <c r="F10" s="232"/>
      <c r="G10" s="232"/>
      <c r="H10" s="232"/>
    </row>
    <row r="11" spans="1:8" ht="67.5" customHeight="1" x14ac:dyDescent="0.2">
      <c r="A11" s="233"/>
      <c r="B11" s="233"/>
      <c r="C11" s="233"/>
      <c r="D11" s="233"/>
      <c r="E11" s="233"/>
      <c r="F11" s="233"/>
      <c r="G11" s="233"/>
      <c r="H11" s="233"/>
    </row>
    <row r="12" spans="1:8" ht="23.25" customHeight="1" x14ac:dyDescent="0.2">
      <c r="A12" s="220" t="s">
        <v>13</v>
      </c>
      <c r="B12" s="221"/>
      <c r="C12" s="221"/>
      <c r="D12" s="221"/>
      <c r="E12" s="221"/>
      <c r="F12" s="221"/>
      <c r="G12" s="221"/>
      <c r="H12" s="222"/>
    </row>
    <row r="13" spans="1:8" ht="21.75" customHeight="1" x14ac:dyDescent="0.2">
      <c r="A13" s="214" t="s">
        <v>114</v>
      </c>
      <c r="B13" s="215"/>
      <c r="C13" s="215"/>
      <c r="D13" s="215"/>
      <c r="E13" s="215"/>
      <c r="F13" s="215"/>
      <c r="G13" s="215"/>
      <c r="H13" s="216"/>
    </row>
    <row r="14" spans="1:8" ht="22.5" customHeight="1" x14ac:dyDescent="0.2">
      <c r="A14" s="45" t="s">
        <v>14</v>
      </c>
      <c r="B14" s="42">
        <v>0</v>
      </c>
      <c r="C14" s="43">
        <v>0.25</v>
      </c>
      <c r="D14" s="43">
        <v>0.5</v>
      </c>
      <c r="E14" s="43">
        <v>0.75</v>
      </c>
      <c r="F14" s="43">
        <v>1</v>
      </c>
      <c r="G14" s="44" t="s">
        <v>8</v>
      </c>
      <c r="H14" s="44" t="s">
        <v>15</v>
      </c>
    </row>
    <row r="15" spans="1:8" ht="53.25" customHeight="1" x14ac:dyDescent="0.2">
      <c r="A15" s="7" t="s">
        <v>140</v>
      </c>
      <c r="B15" s="4"/>
      <c r="C15" s="3"/>
      <c r="D15" s="3"/>
      <c r="E15" s="3"/>
      <c r="F15" s="3"/>
      <c r="G15" s="3"/>
      <c r="H15" s="33"/>
    </row>
    <row r="16" spans="1:8" ht="36.75" customHeight="1" x14ac:dyDescent="0.2">
      <c r="A16" s="7" t="s">
        <v>141</v>
      </c>
      <c r="B16" s="4"/>
      <c r="C16" s="3"/>
      <c r="D16" s="3"/>
      <c r="E16" s="3"/>
      <c r="F16" s="3"/>
      <c r="G16" s="3"/>
      <c r="H16" s="33"/>
    </row>
    <row r="17" spans="1:8" ht="31.5" customHeight="1" x14ac:dyDescent="0.2">
      <c r="A17" s="214" t="s">
        <v>16</v>
      </c>
      <c r="B17" s="215"/>
      <c r="C17" s="215"/>
      <c r="D17" s="215"/>
      <c r="E17" s="215"/>
      <c r="F17" s="215"/>
      <c r="G17" s="215"/>
      <c r="H17" s="216"/>
    </row>
    <row r="18" spans="1:8" ht="22.5" customHeight="1" x14ac:dyDescent="0.2">
      <c r="A18" s="45" t="s">
        <v>17</v>
      </c>
      <c r="B18" s="42">
        <v>0</v>
      </c>
      <c r="C18" s="43">
        <v>0.25</v>
      </c>
      <c r="D18" s="43">
        <v>0.5</v>
      </c>
      <c r="E18" s="43">
        <v>0.75</v>
      </c>
      <c r="F18" s="43">
        <v>1</v>
      </c>
      <c r="G18" s="44" t="s">
        <v>8</v>
      </c>
      <c r="H18" s="44" t="s">
        <v>15</v>
      </c>
    </row>
    <row r="19" spans="1:8" ht="33.75" customHeight="1" x14ac:dyDescent="0.2">
      <c r="A19" s="7" t="s">
        <v>142</v>
      </c>
      <c r="B19" s="4"/>
      <c r="C19" s="3"/>
      <c r="D19" s="3"/>
      <c r="E19" s="3"/>
      <c r="F19" s="3"/>
      <c r="G19" s="3"/>
      <c r="H19" s="3"/>
    </row>
    <row r="20" spans="1:8" ht="30" x14ac:dyDescent="0.2">
      <c r="A20" s="7" t="s">
        <v>143</v>
      </c>
      <c r="B20" s="4"/>
      <c r="C20" s="3"/>
      <c r="D20" s="3"/>
      <c r="E20" s="3"/>
      <c r="F20" s="3"/>
      <c r="G20" s="3"/>
      <c r="H20" s="3"/>
    </row>
    <row r="21" spans="1:8" ht="30" x14ac:dyDescent="0.2">
      <c r="A21" s="191" t="s">
        <v>144</v>
      </c>
      <c r="B21" s="4"/>
      <c r="C21" s="3"/>
      <c r="D21" s="3"/>
      <c r="E21" s="3"/>
      <c r="F21" s="3"/>
      <c r="G21" s="3"/>
      <c r="H21" s="3"/>
    </row>
    <row r="22" spans="1:8" ht="30" customHeight="1" x14ac:dyDescent="0.2">
      <c r="A22" s="214" t="s">
        <v>145</v>
      </c>
      <c r="B22" s="215"/>
      <c r="C22" s="215"/>
      <c r="D22" s="215"/>
      <c r="E22" s="215"/>
      <c r="F22" s="215"/>
      <c r="G22" s="215"/>
      <c r="H22" s="216"/>
    </row>
    <row r="23" spans="1:8" ht="29.25" customHeight="1" x14ac:dyDescent="0.2">
      <c r="A23" s="45" t="s">
        <v>17</v>
      </c>
      <c r="B23" s="42">
        <v>0</v>
      </c>
      <c r="C23" s="43">
        <v>0.25</v>
      </c>
      <c r="D23" s="43">
        <v>0.5</v>
      </c>
      <c r="E23" s="43">
        <v>0.75</v>
      </c>
      <c r="F23" s="43">
        <v>1</v>
      </c>
      <c r="G23" s="44" t="s">
        <v>8</v>
      </c>
      <c r="H23" s="44" t="s">
        <v>15</v>
      </c>
    </row>
    <row r="24" spans="1:8" ht="37.5" customHeight="1" x14ac:dyDescent="0.2">
      <c r="A24" s="7" t="s">
        <v>146</v>
      </c>
      <c r="B24" s="4"/>
      <c r="C24" s="3"/>
      <c r="D24" s="3"/>
      <c r="E24" s="3"/>
      <c r="F24" s="3"/>
      <c r="G24" s="3"/>
      <c r="H24" s="3"/>
    </row>
    <row r="25" spans="1:8" ht="27.75" customHeight="1" x14ac:dyDescent="0.2">
      <c r="A25" s="7" t="s">
        <v>147</v>
      </c>
      <c r="B25" s="4"/>
      <c r="C25" s="3"/>
      <c r="D25" s="3"/>
      <c r="E25" s="3"/>
      <c r="F25" s="3"/>
      <c r="G25" s="3"/>
      <c r="H25" s="33"/>
    </row>
    <row r="26" spans="1:8" ht="36" customHeight="1" x14ac:dyDescent="0.2">
      <c r="A26" s="7" t="s">
        <v>148</v>
      </c>
      <c r="B26" s="4"/>
      <c r="C26" s="3"/>
      <c r="D26" s="3"/>
      <c r="E26" s="3"/>
      <c r="F26" s="3"/>
      <c r="G26" s="3"/>
      <c r="H26" s="3"/>
    </row>
    <row r="27" spans="1:8" ht="33" customHeight="1" x14ac:dyDescent="0.2">
      <c r="A27" s="7" t="s">
        <v>149</v>
      </c>
      <c r="B27" s="4"/>
      <c r="C27" s="3"/>
      <c r="D27" s="3"/>
      <c r="E27" s="3"/>
      <c r="F27" s="3"/>
      <c r="G27" s="3"/>
      <c r="H27" s="3"/>
    </row>
    <row r="28" spans="1:8" ht="28.5" customHeight="1" x14ac:dyDescent="0.2">
      <c r="A28" s="7" t="s">
        <v>150</v>
      </c>
      <c r="B28" s="4"/>
      <c r="C28" s="3"/>
      <c r="D28" s="3"/>
      <c r="F28" s="3"/>
      <c r="G28" s="3"/>
      <c r="H28" s="3"/>
    </row>
    <row r="29" spans="1:8" ht="28.5" customHeight="1" x14ac:dyDescent="0.2">
      <c r="A29" s="191" t="s">
        <v>151</v>
      </c>
      <c r="B29" s="4"/>
      <c r="C29" s="3"/>
      <c r="D29" s="3"/>
      <c r="F29" s="3"/>
      <c r="G29" s="3"/>
      <c r="H29" s="3"/>
    </row>
    <row r="30" spans="1:8" ht="30" x14ac:dyDescent="0.2">
      <c r="A30" s="191" t="s">
        <v>152</v>
      </c>
      <c r="B30" s="4"/>
      <c r="C30" s="3"/>
      <c r="D30" s="3"/>
      <c r="F30" s="3"/>
      <c r="G30" s="3"/>
      <c r="H30" s="3"/>
    </row>
    <row r="31" spans="1:8" ht="24.75" customHeight="1" x14ac:dyDescent="0.2">
      <c r="A31" s="188" t="s">
        <v>153</v>
      </c>
      <c r="B31" s="42">
        <v>0</v>
      </c>
      <c r="C31" s="43">
        <v>0.25</v>
      </c>
      <c r="D31" s="43">
        <v>0.5</v>
      </c>
      <c r="E31" s="43">
        <v>0.75</v>
      </c>
      <c r="F31" s="43">
        <v>1</v>
      </c>
      <c r="G31" s="44" t="s">
        <v>8</v>
      </c>
      <c r="H31" s="44" t="s">
        <v>15</v>
      </c>
    </row>
    <row r="32" spans="1:8" ht="72.75" customHeight="1" x14ac:dyDescent="0.2">
      <c r="A32" s="7" t="s">
        <v>154</v>
      </c>
      <c r="B32" s="4"/>
      <c r="C32" s="3"/>
      <c r="D32" s="3"/>
      <c r="E32" s="3"/>
      <c r="F32" s="3"/>
      <c r="G32" s="3"/>
      <c r="H32" s="33"/>
    </row>
    <row r="33" spans="1:8" ht="31.5" customHeight="1" x14ac:dyDescent="0.2">
      <c r="A33" s="220" t="s">
        <v>18</v>
      </c>
      <c r="B33" s="221"/>
      <c r="C33" s="221"/>
      <c r="D33" s="221"/>
      <c r="E33" s="221"/>
      <c r="F33" s="221"/>
      <c r="G33" s="221"/>
      <c r="H33" s="222"/>
    </row>
    <row r="34" spans="1:8" ht="25.5" customHeight="1" x14ac:dyDescent="0.2">
      <c r="A34" s="229" t="s">
        <v>19</v>
      </c>
      <c r="B34" s="230"/>
      <c r="C34" s="230"/>
      <c r="D34" s="230"/>
      <c r="E34" s="230"/>
      <c r="F34" s="230"/>
      <c r="G34" s="230"/>
      <c r="H34" s="231"/>
    </row>
    <row r="35" spans="1:8" ht="31.5" x14ac:dyDescent="0.2">
      <c r="A35" s="132" t="s">
        <v>155</v>
      </c>
      <c r="B35" s="48">
        <v>0</v>
      </c>
      <c r="C35" s="48">
        <v>0.25</v>
      </c>
      <c r="D35" s="48">
        <v>0.5</v>
      </c>
      <c r="E35" s="48">
        <v>0.75</v>
      </c>
      <c r="F35" s="48">
        <v>1</v>
      </c>
      <c r="G35" s="49" t="s">
        <v>8</v>
      </c>
      <c r="H35" s="49" t="s">
        <v>15</v>
      </c>
    </row>
    <row r="36" spans="1:8" ht="36" customHeight="1" x14ac:dyDescent="0.2">
      <c r="A36" s="7" t="s">
        <v>156</v>
      </c>
      <c r="B36" s="4"/>
      <c r="C36" s="3"/>
      <c r="D36" s="3"/>
      <c r="E36" s="3"/>
      <c r="F36" s="3"/>
      <c r="G36" s="3"/>
      <c r="H36" s="33"/>
    </row>
    <row r="37" spans="1:8" ht="50.25" customHeight="1" x14ac:dyDescent="0.2">
      <c r="A37" s="7" t="s">
        <v>157</v>
      </c>
      <c r="B37" s="4"/>
      <c r="C37" s="3"/>
      <c r="D37" s="3"/>
      <c r="E37" s="3"/>
      <c r="F37" s="3"/>
      <c r="G37" s="3"/>
      <c r="H37" s="33"/>
    </row>
    <row r="38" spans="1:8" ht="41.25" customHeight="1" x14ac:dyDescent="0.2">
      <c r="A38" s="7" t="s">
        <v>158</v>
      </c>
      <c r="B38" s="4"/>
      <c r="C38" s="3"/>
      <c r="D38" s="3"/>
      <c r="E38" s="3"/>
      <c r="F38" s="3"/>
      <c r="G38" s="3"/>
      <c r="H38" s="33"/>
    </row>
    <row r="39" spans="1:8" ht="30" x14ac:dyDescent="0.2">
      <c r="A39" s="7" t="s">
        <v>159</v>
      </c>
      <c r="B39" s="4"/>
      <c r="C39" s="3"/>
      <c r="D39" s="3"/>
      <c r="E39" s="3"/>
      <c r="F39" s="3"/>
      <c r="G39" s="3"/>
      <c r="H39" s="33"/>
    </row>
    <row r="40" spans="1:8" ht="30" x14ac:dyDescent="0.2">
      <c r="A40" s="7" t="s">
        <v>160</v>
      </c>
      <c r="B40" s="4"/>
      <c r="C40" s="3"/>
      <c r="D40" s="3"/>
      <c r="E40" s="3"/>
      <c r="F40" s="3"/>
      <c r="G40" s="3"/>
      <c r="H40" s="33"/>
    </row>
    <row r="41" spans="1:8" ht="30" x14ac:dyDescent="0.2">
      <c r="A41" s="191" t="s">
        <v>161</v>
      </c>
      <c r="B41" s="4"/>
      <c r="C41" s="3"/>
      <c r="D41" s="3"/>
      <c r="E41" s="3"/>
      <c r="F41" s="3"/>
      <c r="G41" s="3"/>
      <c r="H41" s="33"/>
    </row>
    <row r="42" spans="1:8" ht="30" x14ac:dyDescent="0.2">
      <c r="A42" s="191" t="s">
        <v>162</v>
      </c>
      <c r="B42" s="4"/>
      <c r="C42" s="3"/>
      <c r="D42" s="3"/>
      <c r="E42" s="3"/>
      <c r="F42" s="3"/>
      <c r="G42" s="3"/>
      <c r="H42" s="33"/>
    </row>
    <row r="43" spans="1:8" x14ac:dyDescent="0.2">
      <c r="A43" s="191" t="s">
        <v>118</v>
      </c>
      <c r="B43" s="4"/>
      <c r="C43" s="3"/>
      <c r="D43" s="3"/>
      <c r="E43" s="3"/>
      <c r="F43" s="3"/>
      <c r="G43" s="3"/>
      <c r="H43" s="33"/>
    </row>
    <row r="44" spans="1:8" ht="30" x14ac:dyDescent="0.2">
      <c r="A44" s="191" t="s">
        <v>163</v>
      </c>
      <c r="B44" s="4"/>
      <c r="C44" s="3"/>
      <c r="D44" s="3"/>
      <c r="E44" s="3"/>
      <c r="F44" s="3"/>
      <c r="G44" s="3"/>
      <c r="H44" s="33"/>
    </row>
    <row r="45" spans="1:8" ht="27.75" customHeight="1" x14ac:dyDescent="0.2">
      <c r="A45" s="229" t="s">
        <v>164</v>
      </c>
      <c r="B45" s="230"/>
      <c r="C45" s="230"/>
      <c r="D45" s="230"/>
      <c r="E45" s="230"/>
      <c r="F45" s="230"/>
      <c r="G45" s="230"/>
      <c r="H45" s="231"/>
    </row>
    <row r="46" spans="1:8" ht="27.75" customHeight="1" x14ac:dyDescent="0.2">
      <c r="A46" s="45" t="s">
        <v>21</v>
      </c>
      <c r="B46" s="42">
        <v>0</v>
      </c>
      <c r="C46" s="43">
        <v>0.25</v>
      </c>
      <c r="D46" s="43">
        <v>0.5</v>
      </c>
      <c r="E46" s="43">
        <v>0.75</v>
      </c>
      <c r="F46" s="43">
        <v>1</v>
      </c>
      <c r="G46" s="44" t="s">
        <v>8</v>
      </c>
      <c r="H46" s="44" t="s">
        <v>15</v>
      </c>
    </row>
    <row r="47" spans="1:8" ht="40.5" customHeight="1" x14ac:dyDescent="0.2">
      <c r="A47" s="7" t="s">
        <v>165</v>
      </c>
      <c r="B47" s="4"/>
      <c r="C47" s="3"/>
      <c r="D47" s="3"/>
      <c r="E47" s="3"/>
      <c r="F47" s="3"/>
      <c r="G47" s="3"/>
      <c r="H47" s="33"/>
    </row>
    <row r="48" spans="1:8" ht="45" x14ac:dyDescent="0.2">
      <c r="A48" s="7" t="s">
        <v>166</v>
      </c>
      <c r="B48" s="4"/>
      <c r="C48" s="3"/>
      <c r="D48" s="3"/>
      <c r="E48" s="3"/>
      <c r="F48" s="3"/>
      <c r="G48" s="3"/>
      <c r="H48" s="33"/>
    </row>
    <row r="49" spans="1:8" ht="42" customHeight="1" x14ac:dyDescent="0.2">
      <c r="A49" s="7" t="s">
        <v>167</v>
      </c>
      <c r="B49" s="4"/>
      <c r="C49" s="3"/>
      <c r="D49" s="3"/>
      <c r="E49" s="3"/>
      <c r="F49" s="3"/>
      <c r="G49" s="3"/>
      <c r="H49" s="33"/>
    </row>
    <row r="50" spans="1:8" ht="45" x14ac:dyDescent="0.2">
      <c r="A50" s="7" t="s">
        <v>168</v>
      </c>
      <c r="B50" s="4"/>
      <c r="C50" s="3"/>
      <c r="D50" s="3"/>
      <c r="E50" s="3"/>
      <c r="F50" s="3"/>
      <c r="G50" s="3"/>
      <c r="H50" s="33"/>
    </row>
    <row r="51" spans="1:8" ht="42" customHeight="1" x14ac:dyDescent="0.2">
      <c r="A51" s="7" t="s">
        <v>169</v>
      </c>
      <c r="B51" s="4"/>
      <c r="C51" s="3"/>
      <c r="D51" s="3"/>
      <c r="E51" s="3"/>
      <c r="F51" s="3"/>
      <c r="G51" s="3"/>
      <c r="H51" s="33"/>
    </row>
    <row r="52" spans="1:8" ht="36.75" customHeight="1" x14ac:dyDescent="0.2">
      <c r="A52" s="45" t="s">
        <v>119</v>
      </c>
      <c r="B52" s="42">
        <v>0</v>
      </c>
      <c r="C52" s="43">
        <v>0.25</v>
      </c>
      <c r="D52" s="43">
        <v>0.5</v>
      </c>
      <c r="E52" s="43">
        <v>0.75</v>
      </c>
      <c r="F52" s="43">
        <v>1</v>
      </c>
      <c r="G52" s="44" t="s">
        <v>8</v>
      </c>
      <c r="H52" s="44" t="s">
        <v>15</v>
      </c>
    </row>
    <row r="53" spans="1:8" ht="30" customHeight="1" x14ac:dyDescent="0.2">
      <c r="A53" s="7" t="s">
        <v>170</v>
      </c>
      <c r="B53" s="4"/>
      <c r="C53" s="3"/>
      <c r="D53" s="3"/>
      <c r="E53" s="3"/>
      <c r="F53" s="3"/>
      <c r="G53" s="3"/>
      <c r="H53" s="33"/>
    </row>
    <row r="54" spans="1:8" ht="33.75" customHeight="1" x14ac:dyDescent="0.2">
      <c r="A54" s="7" t="s">
        <v>171</v>
      </c>
      <c r="B54" s="4"/>
      <c r="C54" s="3"/>
      <c r="D54" s="3"/>
      <c r="E54" s="3"/>
      <c r="F54" s="3"/>
      <c r="G54" s="3"/>
      <c r="H54" s="33"/>
    </row>
    <row r="55" spans="1:8" ht="37.5" customHeight="1" x14ac:dyDescent="0.2">
      <c r="A55" s="7" t="s">
        <v>172</v>
      </c>
      <c r="B55" s="4"/>
      <c r="C55" s="3"/>
      <c r="D55" s="3"/>
      <c r="E55" s="3"/>
      <c r="F55" s="3"/>
      <c r="G55" s="3"/>
      <c r="H55" s="33"/>
    </row>
    <row r="56" spans="1:8" ht="32.25" customHeight="1" x14ac:dyDescent="0.2">
      <c r="A56" s="214" t="s">
        <v>20</v>
      </c>
      <c r="B56" s="215"/>
      <c r="C56" s="215"/>
      <c r="D56" s="215"/>
      <c r="E56" s="215"/>
      <c r="F56" s="215"/>
      <c r="G56" s="215"/>
      <c r="H56" s="216"/>
    </row>
    <row r="57" spans="1:8" ht="26.25" customHeight="1" x14ac:dyDescent="0.2">
      <c r="A57" s="185" t="s">
        <v>120</v>
      </c>
      <c r="B57" s="42">
        <v>0</v>
      </c>
      <c r="C57" s="43">
        <v>0.25</v>
      </c>
      <c r="D57" s="43">
        <v>0.5</v>
      </c>
      <c r="E57" s="43">
        <v>0.75</v>
      </c>
      <c r="F57" s="43">
        <v>1</v>
      </c>
      <c r="G57" s="44" t="s">
        <v>8</v>
      </c>
      <c r="H57" s="44" t="s">
        <v>15</v>
      </c>
    </row>
    <row r="58" spans="1:8" ht="54.75" customHeight="1" x14ac:dyDescent="0.2">
      <c r="A58" s="7" t="s">
        <v>173</v>
      </c>
      <c r="B58" s="4"/>
      <c r="C58" s="3"/>
      <c r="D58" s="3"/>
      <c r="E58" s="3"/>
      <c r="F58" s="3"/>
      <c r="G58" s="3"/>
      <c r="H58" s="33"/>
    </row>
    <row r="59" spans="1:8" ht="48" customHeight="1" x14ac:dyDescent="0.2">
      <c r="A59" s="7" t="s">
        <v>174</v>
      </c>
      <c r="B59" s="4"/>
      <c r="C59" s="3"/>
      <c r="D59" s="3"/>
      <c r="E59" s="3"/>
      <c r="F59" s="3"/>
      <c r="G59" s="3"/>
      <c r="H59" s="33"/>
    </row>
    <row r="60" spans="1:8" ht="50.25" customHeight="1" x14ac:dyDescent="0.2">
      <c r="A60" s="7" t="s">
        <v>175</v>
      </c>
      <c r="B60" s="4"/>
      <c r="C60" s="3"/>
      <c r="D60" s="3"/>
      <c r="E60" s="3"/>
      <c r="F60" s="3"/>
      <c r="G60" s="3"/>
      <c r="H60" s="33"/>
    </row>
    <row r="61" spans="1:8" ht="24.75" customHeight="1" x14ac:dyDescent="0.2">
      <c r="A61" s="220" t="s">
        <v>22</v>
      </c>
      <c r="B61" s="221"/>
      <c r="C61" s="221"/>
      <c r="D61" s="221"/>
      <c r="E61" s="221"/>
      <c r="F61" s="221"/>
      <c r="G61" s="221"/>
      <c r="H61" s="222"/>
    </row>
    <row r="62" spans="1:8" ht="24.75" customHeight="1" x14ac:dyDescent="0.2">
      <c r="A62" s="214" t="s">
        <v>121</v>
      </c>
      <c r="B62" s="215"/>
      <c r="C62" s="215"/>
      <c r="D62" s="215"/>
      <c r="E62" s="215"/>
      <c r="F62" s="215"/>
      <c r="G62" s="215"/>
      <c r="H62" s="216"/>
    </row>
    <row r="63" spans="1:8" ht="24.75" customHeight="1" x14ac:dyDescent="0.2">
      <c r="A63" s="217" t="s">
        <v>176</v>
      </c>
      <c r="B63" s="218"/>
      <c r="C63" s="218"/>
      <c r="D63" s="218"/>
      <c r="E63" s="218"/>
      <c r="F63" s="218"/>
      <c r="G63" s="218"/>
      <c r="H63" s="223"/>
    </row>
    <row r="64" spans="1:8" ht="28.5" customHeight="1" x14ac:dyDescent="0.2">
      <c r="A64" s="45" t="s">
        <v>177</v>
      </c>
      <c r="B64" s="42">
        <v>0</v>
      </c>
      <c r="C64" s="43">
        <v>0.25</v>
      </c>
      <c r="D64" s="43">
        <v>0.5</v>
      </c>
      <c r="E64" s="43">
        <v>0.75</v>
      </c>
      <c r="F64" s="43">
        <v>1</v>
      </c>
      <c r="G64" s="44" t="s">
        <v>8</v>
      </c>
      <c r="H64" s="44" t="s">
        <v>15</v>
      </c>
    </row>
    <row r="65" spans="1:8" ht="54.75" customHeight="1" x14ac:dyDescent="0.2">
      <c r="A65" s="7" t="s">
        <v>178</v>
      </c>
      <c r="B65" s="4"/>
      <c r="C65" s="3"/>
      <c r="D65" s="3"/>
      <c r="E65" s="3"/>
      <c r="F65" s="3"/>
      <c r="G65" s="3"/>
      <c r="H65" s="33"/>
    </row>
    <row r="66" spans="1:8" ht="51.75" customHeight="1" x14ac:dyDescent="0.2">
      <c r="A66" s="7" t="s">
        <v>179</v>
      </c>
      <c r="B66" s="4"/>
      <c r="C66" s="3"/>
      <c r="D66" s="3"/>
      <c r="E66" s="3"/>
      <c r="F66" s="3"/>
      <c r="G66" s="3"/>
      <c r="H66" s="33"/>
    </row>
    <row r="67" spans="1:8" ht="46.5" customHeight="1" x14ac:dyDescent="0.2">
      <c r="A67" s="7" t="s">
        <v>180</v>
      </c>
      <c r="B67" s="4"/>
      <c r="C67" s="3"/>
      <c r="D67" s="3"/>
      <c r="E67" s="3"/>
      <c r="F67" s="3"/>
      <c r="G67" s="3"/>
      <c r="H67" s="33"/>
    </row>
    <row r="68" spans="1:8" ht="36.75" customHeight="1" x14ac:dyDescent="0.2">
      <c r="A68" s="7" t="s">
        <v>181</v>
      </c>
      <c r="B68" s="4"/>
      <c r="C68" s="3"/>
      <c r="D68" s="3"/>
      <c r="E68" s="3"/>
      <c r="F68" s="3"/>
      <c r="G68" s="3"/>
      <c r="H68" s="33"/>
    </row>
    <row r="69" spans="1:8" ht="34.5" customHeight="1" x14ac:dyDescent="0.2">
      <c r="A69" s="7" t="s">
        <v>182</v>
      </c>
      <c r="B69" s="4"/>
      <c r="C69" s="3"/>
      <c r="D69" s="3"/>
      <c r="E69" s="3"/>
      <c r="F69" s="3"/>
      <c r="G69" s="3"/>
      <c r="H69" s="33"/>
    </row>
    <row r="70" spans="1:8" ht="45" x14ac:dyDescent="0.2">
      <c r="A70" s="7" t="s">
        <v>183</v>
      </c>
      <c r="B70" s="4"/>
      <c r="C70" s="3"/>
      <c r="D70" s="3"/>
      <c r="E70" s="3"/>
      <c r="F70" s="3"/>
      <c r="G70" s="3"/>
      <c r="H70" s="33"/>
    </row>
    <row r="71" spans="1:8" ht="25.5" customHeight="1" x14ac:dyDescent="0.2">
      <c r="A71" s="7" t="s">
        <v>184</v>
      </c>
      <c r="B71" s="4"/>
      <c r="C71" s="3"/>
      <c r="D71" s="3"/>
      <c r="E71" s="3"/>
      <c r="F71" s="3"/>
      <c r="G71" s="3"/>
      <c r="H71" s="33"/>
    </row>
    <row r="72" spans="1:8" ht="45" x14ac:dyDescent="0.2">
      <c r="A72" s="7" t="s">
        <v>185</v>
      </c>
      <c r="B72" s="4"/>
      <c r="C72" s="3"/>
      <c r="D72" s="3"/>
      <c r="E72" s="3"/>
      <c r="F72" s="3"/>
      <c r="G72" s="3"/>
      <c r="H72" s="33"/>
    </row>
    <row r="73" spans="1:8" ht="34.5" customHeight="1" x14ac:dyDescent="0.2">
      <c r="A73" s="7" t="s">
        <v>186</v>
      </c>
      <c r="B73" s="4"/>
      <c r="C73" s="3"/>
      <c r="D73" s="3"/>
      <c r="E73" s="3"/>
      <c r="F73" s="3"/>
      <c r="G73" s="3"/>
      <c r="H73" s="33"/>
    </row>
    <row r="74" spans="1:8" ht="60" x14ac:dyDescent="0.2">
      <c r="A74" s="7" t="s">
        <v>187</v>
      </c>
      <c r="B74" s="4"/>
      <c r="C74" s="3"/>
      <c r="D74" s="3"/>
      <c r="E74" s="3"/>
      <c r="F74" s="3"/>
      <c r="G74" s="3"/>
      <c r="H74" s="33"/>
    </row>
    <row r="75" spans="1:8" ht="30.75" customHeight="1" x14ac:dyDescent="0.2">
      <c r="A75" s="217" t="s">
        <v>188</v>
      </c>
      <c r="B75" s="218"/>
      <c r="C75" s="218"/>
      <c r="D75" s="218"/>
      <c r="E75" s="218"/>
      <c r="F75" s="218"/>
      <c r="G75" s="218"/>
      <c r="H75" s="223"/>
    </row>
    <row r="76" spans="1:8" ht="30.75" customHeight="1" x14ac:dyDescent="0.2">
      <c r="A76" s="45" t="s">
        <v>24</v>
      </c>
      <c r="B76" s="42">
        <v>0</v>
      </c>
      <c r="C76" s="43">
        <v>0.25</v>
      </c>
      <c r="D76" s="43">
        <v>0.5</v>
      </c>
      <c r="E76" s="43">
        <v>0.75</v>
      </c>
      <c r="F76" s="43">
        <v>1</v>
      </c>
      <c r="G76" s="44" t="s">
        <v>8</v>
      </c>
      <c r="H76" s="44" t="s">
        <v>15</v>
      </c>
    </row>
    <row r="77" spans="1:8" ht="60" x14ac:dyDescent="0.2">
      <c r="A77" s="7" t="s">
        <v>189</v>
      </c>
      <c r="B77" s="4"/>
      <c r="C77" s="3"/>
      <c r="D77" s="3"/>
      <c r="E77" s="3"/>
      <c r="F77" s="3"/>
      <c r="G77" s="3"/>
      <c r="H77" s="33"/>
    </row>
    <row r="78" spans="1:8" ht="45" x14ac:dyDescent="0.2">
      <c r="A78" s="7" t="s">
        <v>190</v>
      </c>
      <c r="B78" s="4"/>
      <c r="C78" s="3"/>
      <c r="D78" s="3"/>
      <c r="E78" s="3"/>
      <c r="F78" s="3"/>
      <c r="G78" s="3"/>
      <c r="H78" s="33"/>
    </row>
    <row r="79" spans="1:8" ht="45" x14ac:dyDescent="0.2">
      <c r="A79" s="7" t="s">
        <v>191</v>
      </c>
      <c r="B79" s="4"/>
      <c r="C79" s="4"/>
      <c r="D79" s="3"/>
      <c r="E79" s="3"/>
      <c r="F79" s="3"/>
      <c r="G79" s="3"/>
      <c r="H79" s="33"/>
    </row>
    <row r="80" spans="1:8" ht="45" x14ac:dyDescent="0.2">
      <c r="A80" s="7" t="s">
        <v>192</v>
      </c>
      <c r="B80" s="4"/>
      <c r="C80" s="4"/>
      <c r="D80" s="3"/>
      <c r="E80" s="3"/>
      <c r="F80" s="3"/>
      <c r="G80" s="3"/>
      <c r="H80" s="33"/>
    </row>
    <row r="81" spans="1:8" ht="34.5" customHeight="1" x14ac:dyDescent="0.2">
      <c r="A81" s="7" t="s">
        <v>193</v>
      </c>
      <c r="B81" s="4"/>
      <c r="C81" s="4"/>
      <c r="D81" s="3"/>
      <c r="E81" s="3"/>
      <c r="F81" s="3"/>
      <c r="G81" s="3"/>
      <c r="H81" s="33"/>
    </row>
    <row r="82" spans="1:8" ht="34.5" customHeight="1" x14ac:dyDescent="0.2">
      <c r="A82" s="7" t="s">
        <v>194</v>
      </c>
      <c r="B82" s="4"/>
      <c r="C82" s="4"/>
      <c r="D82" s="3"/>
      <c r="E82" s="3"/>
      <c r="F82" s="3"/>
      <c r="G82" s="3"/>
      <c r="H82" s="33"/>
    </row>
    <row r="83" spans="1:8" ht="34.5" customHeight="1" x14ac:dyDescent="0.2">
      <c r="A83" s="7" t="s">
        <v>195</v>
      </c>
      <c r="B83" s="4"/>
      <c r="C83" s="4"/>
      <c r="D83" s="3"/>
      <c r="E83" s="3"/>
      <c r="F83" s="3"/>
      <c r="G83" s="3"/>
      <c r="H83" s="33"/>
    </row>
    <row r="84" spans="1:8" ht="34.5" customHeight="1" x14ac:dyDescent="0.2">
      <c r="A84" s="7" t="s">
        <v>196</v>
      </c>
      <c r="B84" s="4"/>
      <c r="C84" s="4"/>
      <c r="D84" s="3"/>
      <c r="E84" s="3"/>
      <c r="F84" s="3"/>
      <c r="G84" s="3"/>
      <c r="H84" s="33"/>
    </row>
    <row r="85" spans="1:8" ht="34.5" customHeight="1" x14ac:dyDescent="0.2">
      <c r="A85" s="217" t="s">
        <v>197</v>
      </c>
      <c r="B85" s="218"/>
      <c r="C85" s="218"/>
      <c r="D85" s="218"/>
      <c r="E85" s="218"/>
      <c r="F85" s="218"/>
      <c r="G85" s="218"/>
      <c r="H85" s="223"/>
    </row>
    <row r="86" spans="1:8" ht="34.5" customHeight="1" x14ac:dyDescent="0.2">
      <c r="A86" s="45" t="s">
        <v>28</v>
      </c>
      <c r="B86" s="42">
        <v>0</v>
      </c>
      <c r="C86" s="43">
        <v>0.25</v>
      </c>
      <c r="D86" s="43">
        <v>0.5</v>
      </c>
      <c r="E86" s="43">
        <v>0.75</v>
      </c>
      <c r="F86" s="43">
        <v>1</v>
      </c>
      <c r="G86" s="44" t="s">
        <v>8</v>
      </c>
      <c r="H86" s="44" t="s">
        <v>15</v>
      </c>
    </row>
    <row r="87" spans="1:8" ht="34.5" customHeight="1" x14ac:dyDescent="0.2">
      <c r="A87" s="7" t="s">
        <v>198</v>
      </c>
      <c r="B87" s="4"/>
      <c r="C87" s="4"/>
      <c r="D87" s="3"/>
      <c r="E87" s="3"/>
      <c r="F87" s="3"/>
      <c r="G87" s="3"/>
      <c r="H87" s="33"/>
    </row>
    <row r="88" spans="1:8" ht="34.5" customHeight="1" x14ac:dyDescent="0.2">
      <c r="A88" s="7" t="s">
        <v>199</v>
      </c>
      <c r="B88" s="4"/>
      <c r="C88" s="4"/>
      <c r="D88" s="3"/>
      <c r="E88" s="3"/>
      <c r="F88" s="3"/>
      <c r="G88" s="3"/>
      <c r="H88" s="33"/>
    </row>
    <row r="89" spans="1:8" ht="45" x14ac:dyDescent="0.2">
      <c r="A89" s="7" t="s">
        <v>200</v>
      </c>
      <c r="B89" s="4"/>
      <c r="C89" s="4"/>
      <c r="D89" s="3"/>
      <c r="E89" s="3"/>
      <c r="F89" s="3"/>
      <c r="G89" s="3"/>
      <c r="H89" s="33"/>
    </row>
    <row r="90" spans="1:8" ht="34.5" customHeight="1" x14ac:dyDescent="0.2">
      <c r="A90" s="7" t="s">
        <v>201</v>
      </c>
      <c r="B90" s="4"/>
      <c r="C90" s="4"/>
      <c r="D90" s="3"/>
      <c r="E90" s="3"/>
      <c r="F90" s="3"/>
      <c r="G90" s="3"/>
      <c r="H90" s="33"/>
    </row>
    <row r="91" spans="1:8" ht="34.5" customHeight="1" x14ac:dyDescent="0.2">
      <c r="A91" s="217" t="s">
        <v>202</v>
      </c>
      <c r="B91" s="218"/>
      <c r="C91" s="218"/>
      <c r="D91" s="218"/>
      <c r="E91" s="218"/>
      <c r="F91" s="218"/>
      <c r="G91" s="218"/>
      <c r="H91" s="223"/>
    </row>
    <row r="92" spans="1:8" ht="34.5" customHeight="1" x14ac:dyDescent="0.2">
      <c r="A92" s="45" t="s">
        <v>203</v>
      </c>
      <c r="B92" s="42">
        <v>0</v>
      </c>
      <c r="C92" s="43">
        <v>0.25</v>
      </c>
      <c r="D92" s="43">
        <v>0.5</v>
      </c>
      <c r="E92" s="43">
        <v>0.75</v>
      </c>
      <c r="F92" s="43">
        <v>1</v>
      </c>
      <c r="G92" s="44" t="s">
        <v>8</v>
      </c>
      <c r="H92" s="44" t="s">
        <v>15</v>
      </c>
    </row>
    <row r="93" spans="1:8" ht="34.5" customHeight="1" x14ac:dyDescent="0.2">
      <c r="A93" s="7" t="s">
        <v>204</v>
      </c>
      <c r="B93" s="4"/>
      <c r="C93" s="4"/>
      <c r="D93" s="3"/>
      <c r="E93" s="3"/>
      <c r="F93" s="3"/>
      <c r="G93" s="3"/>
      <c r="H93" s="33"/>
    </row>
    <row r="94" spans="1:8" ht="34.5" customHeight="1" x14ac:dyDescent="0.2">
      <c r="A94" s="7" t="s">
        <v>205</v>
      </c>
      <c r="B94" s="4"/>
      <c r="C94" s="4"/>
      <c r="D94" s="3"/>
      <c r="E94" s="3"/>
      <c r="F94" s="3"/>
      <c r="G94" s="3"/>
      <c r="H94" s="33"/>
    </row>
    <row r="95" spans="1:8" ht="34.5" customHeight="1" x14ac:dyDescent="0.2">
      <c r="A95" s="7" t="s">
        <v>206</v>
      </c>
      <c r="B95" s="4"/>
      <c r="C95" s="4"/>
      <c r="D95" s="3"/>
      <c r="E95" s="3"/>
      <c r="F95" s="3"/>
      <c r="G95" s="3"/>
      <c r="H95" s="33"/>
    </row>
    <row r="96" spans="1:8" ht="34.5" customHeight="1" x14ac:dyDescent="0.2">
      <c r="A96" s="7" t="s">
        <v>207</v>
      </c>
      <c r="B96" s="4"/>
      <c r="C96" s="4"/>
      <c r="D96" s="3"/>
      <c r="E96" s="3"/>
      <c r="F96" s="3"/>
      <c r="G96" s="3"/>
      <c r="H96" s="33"/>
    </row>
    <row r="97" spans="1:8" ht="34.5" customHeight="1" x14ac:dyDescent="0.2">
      <c r="A97" s="7" t="s">
        <v>208</v>
      </c>
      <c r="B97" s="4"/>
      <c r="C97" s="4"/>
      <c r="D97" s="3"/>
      <c r="E97" s="3"/>
      <c r="F97" s="3"/>
      <c r="G97" s="3"/>
      <c r="H97" s="33"/>
    </row>
    <row r="98" spans="1:8" ht="45" x14ac:dyDescent="0.2">
      <c r="A98" s="7" t="s">
        <v>209</v>
      </c>
      <c r="B98" s="4"/>
      <c r="C98" s="4"/>
      <c r="D98" s="3"/>
      <c r="E98" s="3"/>
      <c r="F98" s="3"/>
      <c r="G98" s="3"/>
      <c r="H98" s="33"/>
    </row>
    <row r="99" spans="1:8" ht="27.75" customHeight="1" x14ac:dyDescent="0.2">
      <c r="A99" s="214" t="s">
        <v>210</v>
      </c>
      <c r="B99" s="215"/>
      <c r="C99" s="215"/>
      <c r="D99" s="215"/>
      <c r="E99" s="215"/>
      <c r="F99" s="215"/>
      <c r="G99" s="215"/>
      <c r="H99" s="216"/>
    </row>
    <row r="100" spans="1:8" ht="23.25" customHeight="1" x14ac:dyDescent="0.2">
      <c r="A100" s="217" t="s">
        <v>211</v>
      </c>
      <c r="B100" s="218"/>
      <c r="C100" s="218"/>
      <c r="D100" s="218"/>
      <c r="E100" s="218"/>
      <c r="F100" s="218"/>
      <c r="G100" s="218"/>
      <c r="H100" s="223"/>
    </row>
    <row r="101" spans="1:8" ht="22.5" customHeight="1" x14ac:dyDescent="0.2">
      <c r="A101" s="45" t="s">
        <v>28</v>
      </c>
      <c r="B101" s="42">
        <v>0</v>
      </c>
      <c r="C101" s="43">
        <v>0.25</v>
      </c>
      <c r="D101" s="43">
        <v>0.5</v>
      </c>
      <c r="E101" s="43">
        <v>0.75</v>
      </c>
      <c r="F101" s="43">
        <v>1</v>
      </c>
      <c r="G101" s="44" t="s">
        <v>8</v>
      </c>
      <c r="H101" s="44" t="s">
        <v>15</v>
      </c>
    </row>
    <row r="102" spans="1:8" ht="60" x14ac:dyDescent="0.2">
      <c r="A102" s="7" t="s">
        <v>212</v>
      </c>
      <c r="B102" s="4"/>
      <c r="C102" s="3"/>
      <c r="D102" s="3"/>
      <c r="E102" s="3"/>
      <c r="F102" s="3"/>
      <c r="G102" s="3"/>
      <c r="H102" s="3"/>
    </row>
    <row r="103" spans="1:8" ht="22.5" customHeight="1" x14ac:dyDescent="0.2">
      <c r="A103" s="7" t="s">
        <v>213</v>
      </c>
      <c r="B103" s="4"/>
      <c r="C103" s="3"/>
      <c r="D103" s="3"/>
      <c r="E103" s="3"/>
      <c r="F103" s="3"/>
      <c r="G103" s="3"/>
      <c r="H103" s="3"/>
    </row>
    <row r="104" spans="1:8" x14ac:dyDescent="0.2">
      <c r="A104" s="7" t="s">
        <v>214</v>
      </c>
      <c r="B104" s="4"/>
      <c r="C104" s="3"/>
      <c r="D104" s="3"/>
      <c r="E104" s="3"/>
      <c r="F104" s="3"/>
      <c r="G104" s="3"/>
      <c r="H104" s="3"/>
    </row>
    <row r="105" spans="1:8" x14ac:dyDescent="0.2">
      <c r="A105" s="7" t="s">
        <v>215</v>
      </c>
      <c r="B105" s="4"/>
      <c r="C105" s="3"/>
      <c r="D105" s="3"/>
      <c r="E105" s="3"/>
      <c r="F105" s="3"/>
      <c r="G105" s="3"/>
      <c r="H105" s="3"/>
    </row>
    <row r="106" spans="1:8" x14ac:dyDescent="0.2">
      <c r="A106" s="7" t="s">
        <v>216</v>
      </c>
      <c r="B106" s="4"/>
      <c r="C106" s="3"/>
      <c r="D106" s="3"/>
      <c r="E106" s="3"/>
      <c r="F106" s="3"/>
      <c r="G106" s="3"/>
      <c r="H106" s="3"/>
    </row>
    <row r="107" spans="1:8" x14ac:dyDescent="0.2">
      <c r="A107" s="7" t="s">
        <v>217</v>
      </c>
      <c r="B107" s="4"/>
      <c r="C107" s="3"/>
      <c r="D107" s="3"/>
      <c r="E107" s="3"/>
      <c r="F107" s="3"/>
      <c r="G107" s="3"/>
      <c r="H107" s="3"/>
    </row>
    <row r="108" spans="1:8" ht="30" x14ac:dyDescent="0.2">
      <c r="A108" s="7" t="s">
        <v>218</v>
      </c>
      <c r="B108" s="4"/>
      <c r="C108" s="3"/>
      <c r="D108" s="3"/>
      <c r="E108" s="3"/>
      <c r="F108" s="3"/>
      <c r="G108" s="3"/>
      <c r="H108" s="3"/>
    </row>
    <row r="109" spans="1:8" ht="18" x14ac:dyDescent="0.2">
      <c r="A109" s="217" t="s">
        <v>219</v>
      </c>
      <c r="B109" s="218"/>
      <c r="C109" s="218"/>
      <c r="D109" s="218"/>
      <c r="E109" s="218"/>
      <c r="F109" s="218"/>
      <c r="G109" s="218"/>
      <c r="H109" s="223"/>
    </row>
    <row r="110" spans="1:8" ht="31.5" x14ac:dyDescent="0.2">
      <c r="A110" s="45" t="s">
        <v>220</v>
      </c>
      <c r="B110" s="42">
        <v>0</v>
      </c>
      <c r="C110" s="43">
        <v>0.25</v>
      </c>
      <c r="D110" s="43">
        <v>0.5</v>
      </c>
      <c r="E110" s="43">
        <v>0.75</v>
      </c>
      <c r="F110" s="43">
        <v>1</v>
      </c>
      <c r="G110" s="44" t="s">
        <v>8</v>
      </c>
      <c r="H110" s="44" t="s">
        <v>15</v>
      </c>
    </row>
    <row r="111" spans="1:8" x14ac:dyDescent="0.2">
      <c r="A111" s="191" t="s">
        <v>221</v>
      </c>
      <c r="B111" s="4"/>
      <c r="C111" s="3"/>
      <c r="D111" s="3"/>
      <c r="E111" s="3"/>
      <c r="F111" s="3"/>
      <c r="G111" s="3"/>
      <c r="H111" s="3"/>
    </row>
    <row r="112" spans="1:8" x14ac:dyDescent="0.2">
      <c r="A112" s="191" t="s">
        <v>122</v>
      </c>
      <c r="B112" s="4"/>
      <c r="C112" s="3"/>
      <c r="D112" s="3"/>
      <c r="E112" s="3"/>
      <c r="F112" s="3"/>
      <c r="G112" s="3"/>
      <c r="H112" s="3"/>
    </row>
    <row r="113" spans="1:12" x14ac:dyDescent="0.2">
      <c r="A113" s="191" t="s">
        <v>123</v>
      </c>
      <c r="B113" s="4"/>
      <c r="C113" s="3"/>
      <c r="D113" s="3"/>
      <c r="E113" s="3"/>
      <c r="F113" s="3"/>
      <c r="G113" s="3"/>
      <c r="H113" s="3"/>
    </row>
    <row r="114" spans="1:12" x14ac:dyDescent="0.2">
      <c r="A114" s="191" t="s">
        <v>222</v>
      </c>
      <c r="B114" s="4"/>
      <c r="C114" s="3"/>
      <c r="D114" s="3"/>
      <c r="E114" s="3"/>
      <c r="F114" s="3"/>
      <c r="G114" s="3"/>
      <c r="H114" s="3"/>
    </row>
    <row r="115" spans="1:12" ht="45" x14ac:dyDescent="0.2">
      <c r="A115" s="191" t="s">
        <v>223</v>
      </c>
      <c r="B115" s="4"/>
      <c r="C115" s="3"/>
      <c r="D115" s="3"/>
      <c r="E115" s="3"/>
      <c r="F115" s="3"/>
      <c r="G115" s="3"/>
      <c r="H115" s="3"/>
    </row>
    <row r="116" spans="1:12" ht="45" x14ac:dyDescent="0.2">
      <c r="A116" s="191" t="s">
        <v>224</v>
      </c>
      <c r="B116" s="4"/>
      <c r="C116" s="3"/>
      <c r="D116" s="3"/>
      <c r="E116" s="3"/>
      <c r="F116" s="3"/>
      <c r="G116" s="3"/>
      <c r="H116" s="3"/>
    </row>
    <row r="117" spans="1:12" ht="26.25" customHeight="1" x14ac:dyDescent="0.2">
      <c r="A117" s="220" t="s">
        <v>25</v>
      </c>
      <c r="B117" s="221"/>
      <c r="C117" s="221"/>
      <c r="D117" s="221"/>
      <c r="E117" s="221"/>
      <c r="F117" s="221"/>
      <c r="G117" s="221"/>
      <c r="H117" s="222"/>
    </row>
    <row r="118" spans="1:12" ht="26.25" customHeight="1" x14ac:dyDescent="0.2">
      <c r="A118" s="188" t="s">
        <v>94</v>
      </c>
      <c r="B118" s="42">
        <v>0</v>
      </c>
      <c r="C118" s="43">
        <v>0.25</v>
      </c>
      <c r="D118" s="43">
        <v>0.5</v>
      </c>
      <c r="E118" s="43">
        <v>0.75</v>
      </c>
      <c r="F118" s="43">
        <v>1</v>
      </c>
      <c r="G118" s="44" t="s">
        <v>8</v>
      </c>
      <c r="H118" s="44" t="s">
        <v>15</v>
      </c>
    </row>
    <row r="119" spans="1:12" ht="51" customHeight="1" x14ac:dyDescent="0.2">
      <c r="A119" s="7" t="s">
        <v>225</v>
      </c>
      <c r="B119" s="4"/>
      <c r="C119" s="3"/>
      <c r="D119" s="3"/>
      <c r="E119" s="3"/>
      <c r="F119" s="3"/>
      <c r="G119" s="3"/>
      <c r="H119" s="3"/>
    </row>
    <row r="120" spans="1:12" ht="29.25" customHeight="1" x14ac:dyDescent="0.25">
      <c r="A120" s="214" t="s">
        <v>27</v>
      </c>
      <c r="B120" s="215"/>
      <c r="C120" s="215"/>
      <c r="D120" s="215"/>
      <c r="E120" s="215"/>
      <c r="F120" s="215"/>
      <c r="G120" s="215"/>
      <c r="H120" s="216"/>
      <c r="I120" s="6"/>
      <c r="J120" s="6"/>
      <c r="K120" s="6"/>
      <c r="L120" s="6"/>
    </row>
    <row r="121" spans="1:12" ht="24.75" customHeight="1" x14ac:dyDescent="0.25">
      <c r="A121" s="45" t="s">
        <v>28</v>
      </c>
      <c r="B121" s="42">
        <v>0</v>
      </c>
      <c r="C121" s="43">
        <v>0.25</v>
      </c>
      <c r="D121" s="43">
        <v>0.5</v>
      </c>
      <c r="E121" s="43">
        <v>0.75</v>
      </c>
      <c r="F121" s="43">
        <v>1</v>
      </c>
      <c r="G121" s="44" t="s">
        <v>8</v>
      </c>
      <c r="H121" s="44" t="s">
        <v>15</v>
      </c>
      <c r="I121" s="6"/>
      <c r="J121" s="6"/>
      <c r="K121" s="6"/>
      <c r="L121" s="6"/>
    </row>
    <row r="122" spans="1:12" ht="45" customHeight="1" x14ac:dyDescent="0.25">
      <c r="A122" s="7" t="s">
        <v>226</v>
      </c>
      <c r="B122" s="4"/>
      <c r="C122" s="3"/>
      <c r="D122" s="3"/>
      <c r="E122" s="3"/>
      <c r="F122" s="3"/>
      <c r="G122" s="3"/>
      <c r="H122" s="3"/>
      <c r="I122" s="6"/>
      <c r="J122" s="6"/>
      <c r="K122" s="6"/>
      <c r="L122" s="6"/>
    </row>
    <row r="123" spans="1:12" ht="38.25" customHeight="1" x14ac:dyDescent="0.25">
      <c r="A123" s="7" t="s">
        <v>227</v>
      </c>
      <c r="B123" s="4"/>
      <c r="C123" s="3"/>
      <c r="D123" s="3"/>
      <c r="E123" s="3"/>
      <c r="F123" s="3"/>
      <c r="G123" s="3"/>
      <c r="H123" s="3"/>
      <c r="I123" s="6"/>
      <c r="J123" s="6"/>
      <c r="K123" s="6"/>
      <c r="L123" s="6"/>
    </row>
    <row r="124" spans="1:12" ht="38.25" customHeight="1" x14ac:dyDescent="0.25">
      <c r="A124" s="7" t="s">
        <v>228</v>
      </c>
      <c r="B124" s="4"/>
      <c r="C124" s="3"/>
      <c r="D124" s="3"/>
      <c r="E124" s="3"/>
      <c r="F124" s="3"/>
      <c r="G124" s="3"/>
      <c r="H124" s="3"/>
      <c r="I124" s="6"/>
      <c r="J124" s="6"/>
      <c r="K124" s="6"/>
      <c r="L124" s="6"/>
    </row>
    <row r="125" spans="1:12" ht="38.25" customHeight="1" x14ac:dyDescent="0.25">
      <c r="A125" s="7" t="s">
        <v>229</v>
      </c>
      <c r="B125" s="4"/>
      <c r="C125" s="3"/>
      <c r="D125" s="3"/>
      <c r="E125" s="3"/>
      <c r="F125" s="3"/>
      <c r="G125" s="3"/>
      <c r="H125" s="3"/>
      <c r="I125" s="6"/>
      <c r="J125" s="6"/>
      <c r="K125" s="6"/>
      <c r="L125" s="6"/>
    </row>
    <row r="126" spans="1:12" ht="42.75" customHeight="1" x14ac:dyDescent="0.25">
      <c r="A126" s="7" t="s">
        <v>230</v>
      </c>
      <c r="B126" s="4"/>
      <c r="C126" s="3"/>
      <c r="D126" s="3"/>
      <c r="E126" s="3"/>
      <c r="F126" s="3"/>
      <c r="G126" s="3"/>
      <c r="H126" s="3"/>
      <c r="I126" s="6"/>
      <c r="J126" s="6"/>
      <c r="K126" s="6"/>
      <c r="L126" s="6"/>
    </row>
    <row r="127" spans="1:12" ht="31.5" customHeight="1" x14ac:dyDescent="0.25">
      <c r="A127" s="214" t="s">
        <v>231</v>
      </c>
      <c r="B127" s="215"/>
      <c r="C127" s="215"/>
      <c r="D127" s="215"/>
      <c r="E127" s="215"/>
      <c r="F127" s="215"/>
      <c r="G127" s="215"/>
      <c r="H127" s="216"/>
      <c r="I127" s="6"/>
      <c r="J127" s="6"/>
      <c r="K127" s="6"/>
      <c r="L127" s="6"/>
    </row>
    <row r="128" spans="1:12" ht="52.5" customHeight="1" x14ac:dyDescent="0.25">
      <c r="A128" s="45" t="s">
        <v>232</v>
      </c>
      <c r="B128" s="42">
        <v>0</v>
      </c>
      <c r="C128" s="43">
        <v>0.25</v>
      </c>
      <c r="D128" s="43">
        <v>0.5</v>
      </c>
      <c r="E128" s="43">
        <v>0.75</v>
      </c>
      <c r="F128" s="43">
        <v>1</v>
      </c>
      <c r="G128" s="44" t="s">
        <v>9</v>
      </c>
      <c r="H128" s="44" t="s">
        <v>15</v>
      </c>
      <c r="I128" s="6"/>
      <c r="J128" s="6"/>
      <c r="K128" s="6"/>
      <c r="L128" s="6"/>
    </row>
    <row r="129" spans="1:12" ht="15.75" x14ac:dyDescent="0.25">
      <c r="A129" s="7" t="s">
        <v>233</v>
      </c>
      <c r="B129" s="4"/>
      <c r="C129" s="3"/>
      <c r="D129" s="3"/>
      <c r="E129" s="3"/>
      <c r="F129" s="3"/>
      <c r="G129" s="3"/>
      <c r="H129" s="3"/>
      <c r="I129" s="6"/>
      <c r="J129" s="6"/>
      <c r="K129" s="6"/>
      <c r="L129" s="6"/>
    </row>
    <row r="130" spans="1:12" ht="47.25" customHeight="1" x14ac:dyDescent="0.25">
      <c r="A130" s="7" t="s">
        <v>234</v>
      </c>
      <c r="B130" s="4"/>
      <c r="C130" s="3"/>
      <c r="D130" s="3"/>
      <c r="E130" s="3"/>
      <c r="F130" s="3"/>
      <c r="G130" s="3"/>
      <c r="H130" s="3"/>
      <c r="I130" s="6"/>
      <c r="J130" s="6"/>
      <c r="K130" s="6"/>
      <c r="L130" s="6"/>
    </row>
    <row r="131" spans="1:12" ht="48" customHeight="1" x14ac:dyDescent="0.25">
      <c r="A131" s="7" t="s">
        <v>235</v>
      </c>
      <c r="B131" s="4"/>
      <c r="C131" s="3"/>
      <c r="D131" s="3"/>
      <c r="E131" s="3"/>
      <c r="F131" s="3"/>
      <c r="G131" s="3"/>
      <c r="H131" s="3"/>
      <c r="I131" s="6"/>
      <c r="J131" s="6"/>
      <c r="K131" s="6"/>
      <c r="L131" s="6"/>
    </row>
    <row r="132" spans="1:12" ht="45" x14ac:dyDescent="0.25">
      <c r="A132" s="7" t="s">
        <v>236</v>
      </c>
      <c r="B132" s="4"/>
      <c r="C132" s="3"/>
      <c r="D132" s="3"/>
      <c r="E132" s="3"/>
      <c r="F132" s="3"/>
      <c r="G132" s="3"/>
      <c r="H132" s="3"/>
      <c r="I132" s="6"/>
      <c r="J132" s="6"/>
      <c r="K132" s="6"/>
      <c r="L132" s="6"/>
    </row>
    <row r="133" spans="1:12" ht="27.75" customHeight="1" x14ac:dyDescent="0.25">
      <c r="A133" s="214" t="s">
        <v>29</v>
      </c>
      <c r="B133" s="215"/>
      <c r="C133" s="215"/>
      <c r="D133" s="215"/>
      <c r="E133" s="215"/>
      <c r="F133" s="215"/>
      <c r="G133" s="215"/>
      <c r="H133" s="216"/>
      <c r="I133" s="6"/>
      <c r="J133" s="6"/>
      <c r="K133" s="6"/>
      <c r="L133" s="6"/>
    </row>
    <row r="134" spans="1:12" ht="27.75" customHeight="1" x14ac:dyDescent="0.25">
      <c r="A134" s="217" t="s">
        <v>237</v>
      </c>
      <c r="B134" s="218"/>
      <c r="C134" s="218"/>
      <c r="D134" s="218"/>
      <c r="E134" s="218"/>
      <c r="F134" s="218"/>
      <c r="G134" s="218"/>
      <c r="H134" s="223"/>
      <c r="I134" s="6"/>
      <c r="J134" s="6"/>
      <c r="K134" s="6"/>
      <c r="L134" s="6"/>
    </row>
    <row r="135" spans="1:12" ht="64.5" customHeight="1" x14ac:dyDescent="0.25">
      <c r="A135" s="45" t="s">
        <v>238</v>
      </c>
      <c r="B135" s="42">
        <v>0</v>
      </c>
      <c r="C135" s="43">
        <v>0.25</v>
      </c>
      <c r="D135" s="43">
        <v>0.5</v>
      </c>
      <c r="E135" s="43">
        <v>0.75</v>
      </c>
      <c r="F135" s="43">
        <v>1</v>
      </c>
      <c r="G135" s="44" t="s">
        <v>9</v>
      </c>
      <c r="H135" s="44" t="s">
        <v>26</v>
      </c>
      <c r="I135" s="6"/>
      <c r="J135" s="6"/>
      <c r="K135" s="6"/>
      <c r="L135" s="6"/>
    </row>
    <row r="136" spans="1:12" ht="28.5" customHeight="1" x14ac:dyDescent="0.25">
      <c r="A136" s="7" t="s">
        <v>30</v>
      </c>
      <c r="B136" s="3"/>
      <c r="C136" s="3"/>
      <c r="D136" s="3"/>
      <c r="E136" s="3"/>
      <c r="F136" s="3"/>
      <c r="G136" s="3"/>
      <c r="H136" s="3"/>
      <c r="I136" s="6"/>
      <c r="J136" s="6"/>
      <c r="K136" s="6"/>
      <c r="L136" s="6"/>
    </row>
    <row r="137" spans="1:12" ht="28.5" customHeight="1" x14ac:dyDescent="0.25">
      <c r="A137" s="7" t="s">
        <v>31</v>
      </c>
      <c r="B137" s="3"/>
      <c r="C137" s="3"/>
      <c r="D137" s="3"/>
      <c r="E137" s="3"/>
      <c r="F137" s="3"/>
      <c r="G137" s="3"/>
      <c r="H137" s="3"/>
      <c r="I137" s="6"/>
      <c r="J137" s="6"/>
      <c r="K137" s="6"/>
      <c r="L137" s="6"/>
    </row>
    <row r="138" spans="1:12" ht="28.5" customHeight="1" x14ac:dyDescent="0.25">
      <c r="A138" s="7" t="s">
        <v>32</v>
      </c>
      <c r="B138" s="3"/>
      <c r="C138" s="3"/>
      <c r="D138" s="3"/>
      <c r="E138" s="3"/>
      <c r="F138" s="3"/>
      <c r="G138" s="3"/>
      <c r="H138" s="3"/>
      <c r="I138" s="6"/>
      <c r="J138" s="6"/>
      <c r="K138" s="6"/>
      <c r="L138" s="6"/>
    </row>
    <row r="139" spans="1:12" ht="28.5" customHeight="1" x14ac:dyDescent="0.25">
      <c r="A139" s="7" t="s">
        <v>33</v>
      </c>
      <c r="B139" s="3"/>
      <c r="C139" s="3"/>
      <c r="D139" s="3"/>
      <c r="E139" s="3"/>
      <c r="F139" s="3"/>
      <c r="G139" s="3"/>
      <c r="H139" s="3"/>
      <c r="I139" s="6"/>
      <c r="J139" s="6"/>
      <c r="K139" s="6"/>
      <c r="L139" s="6"/>
    </row>
    <row r="140" spans="1:12" ht="38.25" customHeight="1" x14ac:dyDescent="0.25">
      <c r="A140" s="7" t="s">
        <v>239</v>
      </c>
      <c r="B140" s="3"/>
      <c r="C140" s="3"/>
      <c r="D140" s="3"/>
      <c r="E140" s="3"/>
      <c r="F140" s="3"/>
      <c r="G140" s="3"/>
      <c r="H140" s="3"/>
      <c r="I140" s="6"/>
      <c r="J140" s="6"/>
      <c r="K140" s="6"/>
      <c r="L140" s="6"/>
    </row>
    <row r="141" spans="1:12" ht="36" customHeight="1" x14ac:dyDescent="0.25">
      <c r="A141" s="7" t="s">
        <v>240</v>
      </c>
      <c r="B141" s="3"/>
      <c r="C141" s="3"/>
      <c r="D141" s="3"/>
      <c r="E141" s="3"/>
      <c r="F141" s="3"/>
      <c r="G141" s="3"/>
      <c r="H141" s="3"/>
      <c r="I141" s="6"/>
      <c r="J141" s="6"/>
      <c r="K141" s="6"/>
      <c r="L141" s="6"/>
    </row>
    <row r="142" spans="1:12" ht="28.5" customHeight="1" x14ac:dyDescent="0.25">
      <c r="A142" s="7" t="s">
        <v>241</v>
      </c>
      <c r="B142" s="4"/>
      <c r="C142" s="3"/>
      <c r="D142" s="3"/>
      <c r="E142" s="3"/>
      <c r="F142" s="3"/>
      <c r="G142" s="3"/>
      <c r="H142" s="3"/>
      <c r="I142" s="6"/>
      <c r="J142" s="6"/>
      <c r="K142" s="6"/>
      <c r="L142" s="6"/>
    </row>
    <row r="143" spans="1:12" ht="35.25" customHeight="1" x14ac:dyDescent="0.25">
      <c r="A143" s="7" t="s">
        <v>242</v>
      </c>
      <c r="B143" s="4"/>
      <c r="C143" s="3"/>
      <c r="D143" s="3"/>
      <c r="E143" s="3"/>
      <c r="F143" s="3"/>
      <c r="G143" s="3"/>
      <c r="H143" s="3"/>
      <c r="I143" s="6"/>
      <c r="J143" s="6"/>
      <c r="K143" s="6"/>
      <c r="L143" s="6"/>
    </row>
    <row r="144" spans="1:12" ht="21.75" customHeight="1" x14ac:dyDescent="0.25">
      <c r="A144" s="217" t="s">
        <v>243</v>
      </c>
      <c r="B144" s="218"/>
      <c r="C144" s="218"/>
      <c r="D144" s="218"/>
      <c r="E144" s="218"/>
      <c r="F144" s="218"/>
      <c r="G144" s="218"/>
      <c r="H144" s="218"/>
      <c r="I144" s="6"/>
      <c r="J144" s="6"/>
      <c r="K144" s="6"/>
      <c r="L144" s="6"/>
    </row>
    <row r="145" spans="1:12" ht="21.75" customHeight="1" x14ac:dyDescent="0.25">
      <c r="A145" s="192" t="s">
        <v>28</v>
      </c>
      <c r="B145" s="42">
        <v>0</v>
      </c>
      <c r="C145" s="43">
        <v>0.25</v>
      </c>
      <c r="D145" s="43">
        <v>0.5</v>
      </c>
      <c r="E145" s="43">
        <v>0.75</v>
      </c>
      <c r="F145" s="43">
        <v>1</v>
      </c>
      <c r="G145" s="44" t="s">
        <v>9</v>
      </c>
      <c r="H145" s="44" t="s">
        <v>26</v>
      </c>
      <c r="I145" s="6"/>
      <c r="J145" s="6"/>
      <c r="K145" s="6"/>
      <c r="L145" s="6"/>
    </row>
    <row r="146" spans="1:12" ht="45" x14ac:dyDescent="0.25">
      <c r="A146" s="7" t="s">
        <v>244</v>
      </c>
      <c r="B146" s="3"/>
      <c r="C146" s="3"/>
      <c r="D146" s="3"/>
      <c r="E146" s="3"/>
      <c r="F146" s="3"/>
      <c r="G146" s="3"/>
      <c r="H146" s="3"/>
      <c r="I146" s="6"/>
      <c r="J146" s="6"/>
      <c r="K146" s="6"/>
      <c r="L146" s="6"/>
    </row>
    <row r="147" spans="1:12" ht="45" x14ac:dyDescent="0.25">
      <c r="A147" s="7" t="s">
        <v>245</v>
      </c>
      <c r="B147" s="3"/>
      <c r="C147" s="3"/>
      <c r="D147" s="3"/>
      <c r="E147" s="3"/>
      <c r="F147" s="3"/>
      <c r="G147" s="3"/>
      <c r="H147" s="3"/>
      <c r="I147" s="6"/>
      <c r="J147" s="6"/>
      <c r="K147" s="6"/>
      <c r="L147" s="6"/>
    </row>
    <row r="148" spans="1:12" ht="32.25" customHeight="1" x14ac:dyDescent="0.25">
      <c r="A148" s="189" t="s">
        <v>246</v>
      </c>
      <c r="B148" s="42">
        <v>0</v>
      </c>
      <c r="C148" s="43">
        <v>0.25</v>
      </c>
      <c r="D148" s="43">
        <v>0.5</v>
      </c>
      <c r="E148" s="43">
        <v>0.75</v>
      </c>
      <c r="F148" s="43">
        <v>1</v>
      </c>
      <c r="G148" s="44" t="s">
        <v>9</v>
      </c>
      <c r="H148" s="44" t="s">
        <v>26</v>
      </c>
      <c r="I148" s="6"/>
      <c r="J148" s="6"/>
      <c r="K148" s="6"/>
      <c r="L148" s="6"/>
    </row>
    <row r="149" spans="1:12" ht="45" x14ac:dyDescent="0.25">
      <c r="A149" s="7" t="s">
        <v>247</v>
      </c>
      <c r="B149" s="3"/>
      <c r="C149" s="3"/>
      <c r="D149" s="3"/>
      <c r="E149" s="3"/>
      <c r="F149" s="3"/>
      <c r="G149" s="3"/>
      <c r="H149" s="3"/>
      <c r="I149" s="6"/>
      <c r="J149" s="6"/>
      <c r="K149" s="6"/>
      <c r="L149" s="6"/>
    </row>
    <row r="150" spans="1:12" ht="30" customHeight="1" x14ac:dyDescent="0.25">
      <c r="A150" s="7" t="s">
        <v>126</v>
      </c>
      <c r="B150" s="3"/>
      <c r="C150" s="3"/>
      <c r="D150" s="3"/>
      <c r="E150" s="3"/>
      <c r="F150" s="3"/>
      <c r="G150" s="3"/>
      <c r="H150" s="3"/>
      <c r="I150" s="6"/>
      <c r="J150" s="6"/>
      <c r="K150" s="6"/>
      <c r="L150" s="6"/>
    </row>
    <row r="151" spans="1:12" ht="30" customHeight="1" x14ac:dyDescent="0.25">
      <c r="A151" s="214" t="s">
        <v>115</v>
      </c>
      <c r="B151" s="215"/>
      <c r="C151" s="215"/>
      <c r="D151" s="215"/>
      <c r="E151" s="215"/>
      <c r="F151" s="215"/>
      <c r="G151" s="215"/>
      <c r="H151" s="216"/>
      <c r="I151" s="6"/>
      <c r="J151" s="6"/>
      <c r="K151" s="6"/>
      <c r="L151" s="6"/>
    </row>
    <row r="152" spans="1:12" ht="30" customHeight="1" x14ac:dyDescent="0.25">
      <c r="A152" s="217" t="s">
        <v>125</v>
      </c>
      <c r="B152" s="218"/>
      <c r="C152" s="218"/>
      <c r="D152" s="218"/>
      <c r="E152" s="218"/>
      <c r="F152" s="218"/>
      <c r="G152" s="218"/>
      <c r="H152" s="218"/>
      <c r="I152" s="6"/>
      <c r="J152" s="6"/>
      <c r="K152" s="6"/>
      <c r="L152" s="6"/>
    </row>
    <row r="153" spans="1:12" ht="30" customHeight="1" x14ac:dyDescent="0.25">
      <c r="A153" s="192" t="s">
        <v>248</v>
      </c>
      <c r="B153" s="42">
        <v>0</v>
      </c>
      <c r="C153" s="43">
        <v>0.25</v>
      </c>
      <c r="D153" s="43">
        <v>0.5</v>
      </c>
      <c r="E153" s="43">
        <v>0.75</v>
      </c>
      <c r="F153" s="43">
        <v>1</v>
      </c>
      <c r="G153" s="44" t="s">
        <v>9</v>
      </c>
      <c r="H153" s="44" t="s">
        <v>26</v>
      </c>
      <c r="I153" s="6"/>
      <c r="J153" s="6"/>
      <c r="K153" s="6"/>
      <c r="L153" s="6"/>
    </row>
    <row r="154" spans="1:12" ht="30" customHeight="1" x14ac:dyDescent="0.25">
      <c r="A154" s="8" t="s">
        <v>249</v>
      </c>
      <c r="B154" s="3"/>
      <c r="C154" s="3"/>
      <c r="D154" s="3"/>
      <c r="E154" s="3"/>
      <c r="F154" s="3"/>
      <c r="G154" s="3"/>
      <c r="H154" s="3"/>
      <c r="I154" s="6"/>
      <c r="J154" s="6"/>
      <c r="K154" s="6"/>
      <c r="L154" s="6"/>
    </row>
    <row r="155" spans="1:12" ht="44.25" customHeight="1" x14ac:dyDescent="0.25">
      <c r="A155" s="7" t="s">
        <v>250</v>
      </c>
      <c r="B155" s="3"/>
      <c r="C155" s="3"/>
      <c r="D155" s="3"/>
      <c r="E155" s="3"/>
      <c r="F155" s="3"/>
      <c r="G155" s="3"/>
      <c r="H155" s="3"/>
      <c r="I155" s="6"/>
      <c r="J155" s="6"/>
      <c r="K155" s="6"/>
    </row>
    <row r="156" spans="1:12" ht="36.75" customHeight="1" x14ac:dyDescent="0.25">
      <c r="A156" s="217" t="s">
        <v>127</v>
      </c>
      <c r="B156" s="218"/>
      <c r="C156" s="218"/>
      <c r="D156" s="218"/>
      <c r="E156" s="218"/>
      <c r="F156" s="218"/>
      <c r="G156" s="218"/>
      <c r="H156" s="218"/>
      <c r="I156" s="6"/>
      <c r="J156" s="6"/>
      <c r="K156" s="6"/>
    </row>
    <row r="157" spans="1:12" ht="44.25" customHeight="1" x14ac:dyDescent="0.25">
      <c r="A157" s="192" t="s">
        <v>251</v>
      </c>
      <c r="B157" s="42">
        <v>0</v>
      </c>
      <c r="C157" s="43">
        <v>0.25</v>
      </c>
      <c r="D157" s="43">
        <v>0.5</v>
      </c>
      <c r="E157" s="43">
        <v>0.75</v>
      </c>
      <c r="F157" s="43">
        <v>1</v>
      </c>
      <c r="G157" s="44" t="s">
        <v>9</v>
      </c>
      <c r="H157" s="44" t="s">
        <v>26</v>
      </c>
      <c r="I157" s="6"/>
      <c r="J157" s="6"/>
      <c r="K157" s="6"/>
    </row>
    <row r="158" spans="1:12" ht="44.25" customHeight="1" x14ac:dyDescent="0.25">
      <c r="A158" s="7" t="s">
        <v>252</v>
      </c>
      <c r="B158" s="4"/>
      <c r="C158" s="3"/>
      <c r="D158" s="3"/>
      <c r="E158" s="3"/>
      <c r="F158" s="3"/>
      <c r="G158" s="3"/>
      <c r="H158" s="3"/>
      <c r="I158" s="6"/>
      <c r="J158" s="6"/>
      <c r="K158" s="6"/>
    </row>
    <row r="159" spans="1:12" ht="44.25" customHeight="1" x14ac:dyDescent="0.25">
      <c r="A159" s="7" t="s">
        <v>253</v>
      </c>
      <c r="B159" s="4"/>
      <c r="C159" s="3"/>
      <c r="D159" s="3"/>
      <c r="E159" s="3"/>
      <c r="F159" s="3"/>
      <c r="G159" s="3"/>
      <c r="H159" s="3"/>
      <c r="I159" s="6"/>
      <c r="J159" s="6"/>
      <c r="K159" s="6"/>
    </row>
    <row r="160" spans="1:12" ht="44.25" customHeight="1" x14ac:dyDescent="0.25">
      <c r="A160" s="7" t="s">
        <v>254</v>
      </c>
      <c r="B160" s="4"/>
      <c r="C160" s="3"/>
      <c r="D160" s="3"/>
      <c r="E160" s="3"/>
      <c r="F160" s="3"/>
      <c r="G160" s="3"/>
      <c r="H160" s="3"/>
      <c r="I160" s="6"/>
      <c r="J160" s="6"/>
      <c r="K160" s="6"/>
    </row>
    <row r="161" spans="1:11" ht="33" customHeight="1" x14ac:dyDescent="0.25">
      <c r="A161" s="217" t="s">
        <v>128</v>
      </c>
      <c r="B161" s="218"/>
      <c r="C161" s="218"/>
      <c r="D161" s="218"/>
      <c r="E161" s="218"/>
      <c r="F161" s="218"/>
      <c r="G161" s="218"/>
      <c r="H161" s="218"/>
      <c r="I161" s="6"/>
      <c r="J161" s="6"/>
      <c r="K161" s="6"/>
    </row>
    <row r="162" spans="1:11" ht="33" customHeight="1" x14ac:dyDescent="0.25">
      <c r="A162" s="192" t="s">
        <v>255</v>
      </c>
      <c r="B162" s="42">
        <v>0</v>
      </c>
      <c r="C162" s="43">
        <v>0.25</v>
      </c>
      <c r="D162" s="43">
        <v>0.5</v>
      </c>
      <c r="E162" s="43">
        <v>0.75</v>
      </c>
      <c r="F162" s="43">
        <v>1</v>
      </c>
      <c r="G162" s="44" t="s">
        <v>9</v>
      </c>
      <c r="H162" s="44" t="s">
        <v>26</v>
      </c>
      <c r="I162" s="6"/>
      <c r="J162" s="6"/>
      <c r="K162" s="6"/>
    </row>
    <row r="163" spans="1:11" ht="33" customHeight="1" x14ac:dyDescent="0.25">
      <c r="A163" s="7" t="s">
        <v>256</v>
      </c>
      <c r="B163" s="3"/>
      <c r="C163" s="3"/>
      <c r="D163" s="3"/>
      <c r="E163" s="3"/>
      <c r="F163" s="3"/>
      <c r="G163" s="3"/>
      <c r="H163" s="3"/>
      <c r="I163" s="6"/>
      <c r="J163" s="6"/>
      <c r="K163" s="6"/>
    </row>
    <row r="164" spans="1:11" ht="33" customHeight="1" x14ac:dyDescent="0.25">
      <c r="A164" s="7" t="s">
        <v>129</v>
      </c>
      <c r="B164" s="3"/>
      <c r="C164" s="3"/>
      <c r="D164" s="3"/>
      <c r="E164" s="3"/>
      <c r="F164" s="3"/>
      <c r="G164" s="3"/>
      <c r="H164" s="3"/>
      <c r="I164" s="6"/>
      <c r="J164" s="6"/>
      <c r="K164" s="6"/>
    </row>
    <row r="165" spans="1:11" ht="33" customHeight="1" x14ac:dyDescent="0.25">
      <c r="A165" s="7" t="s">
        <v>130</v>
      </c>
      <c r="B165" s="3"/>
      <c r="C165" s="3"/>
      <c r="D165" s="3"/>
      <c r="E165" s="3"/>
      <c r="F165" s="3"/>
      <c r="G165" s="3"/>
      <c r="H165" s="3"/>
      <c r="I165" s="6"/>
      <c r="J165" s="6"/>
      <c r="K165" s="6"/>
    </row>
    <row r="166" spans="1:11" ht="33" customHeight="1" x14ac:dyDescent="0.25">
      <c r="A166" s="7" t="s">
        <v>131</v>
      </c>
      <c r="B166" s="3"/>
      <c r="C166" s="3"/>
      <c r="D166" s="3"/>
      <c r="E166" s="3"/>
      <c r="F166" s="3"/>
      <c r="G166" s="3"/>
      <c r="H166" s="3"/>
      <c r="I166" s="6"/>
      <c r="J166" s="6"/>
      <c r="K166" s="6"/>
    </row>
    <row r="167" spans="1:11" ht="33" customHeight="1" x14ac:dyDescent="0.25">
      <c r="A167" s="7" t="s">
        <v>132</v>
      </c>
      <c r="B167" s="3"/>
      <c r="C167" s="3"/>
      <c r="D167" s="3"/>
      <c r="E167" s="3"/>
      <c r="F167" s="3"/>
      <c r="G167" s="3"/>
      <c r="H167" s="3"/>
      <c r="I167" s="6"/>
      <c r="J167" s="6"/>
      <c r="K167" s="6"/>
    </row>
    <row r="168" spans="1:11" ht="33" customHeight="1" x14ac:dyDescent="0.25">
      <c r="A168" s="7" t="s">
        <v>133</v>
      </c>
      <c r="B168" s="3"/>
      <c r="C168" s="3"/>
      <c r="D168" s="3"/>
      <c r="E168" s="3"/>
      <c r="F168" s="3"/>
      <c r="G168" s="3"/>
      <c r="H168" s="3"/>
      <c r="I168" s="6"/>
      <c r="J168" s="6"/>
      <c r="K168" s="6"/>
    </row>
    <row r="169" spans="1:11" ht="50.25" customHeight="1" x14ac:dyDescent="0.25">
      <c r="A169" s="7" t="s">
        <v>257</v>
      </c>
      <c r="B169" s="3"/>
      <c r="C169" s="3"/>
      <c r="D169" s="3"/>
      <c r="E169" s="3"/>
      <c r="F169" s="3"/>
      <c r="G169" s="3"/>
      <c r="H169" s="3"/>
      <c r="I169" s="6"/>
      <c r="J169" s="6"/>
      <c r="K169" s="6"/>
    </row>
    <row r="170" spans="1:11" ht="22.5" customHeight="1" x14ac:dyDescent="0.2">
      <c r="A170" s="220" t="s">
        <v>34</v>
      </c>
      <c r="B170" s="221"/>
      <c r="C170" s="221"/>
      <c r="D170" s="221"/>
      <c r="E170" s="221"/>
      <c r="F170" s="221"/>
      <c r="G170" s="221"/>
      <c r="H170" s="222"/>
    </row>
    <row r="171" spans="1:11" ht="26.25" customHeight="1" x14ac:dyDescent="0.2">
      <c r="A171" s="214" t="s">
        <v>35</v>
      </c>
      <c r="B171" s="215"/>
      <c r="C171" s="215"/>
      <c r="D171" s="215"/>
      <c r="E171" s="215"/>
      <c r="F171" s="215"/>
      <c r="G171" s="215"/>
      <c r="H171" s="216"/>
    </row>
    <row r="172" spans="1:11" ht="69" customHeight="1" x14ac:dyDescent="0.2">
      <c r="A172" s="179" t="s">
        <v>258</v>
      </c>
      <c r="B172" s="41">
        <v>0</v>
      </c>
      <c r="C172" s="43">
        <v>0.25</v>
      </c>
      <c r="D172" s="43">
        <v>0.5</v>
      </c>
      <c r="E172" s="43">
        <v>0.75</v>
      </c>
      <c r="F172" s="43">
        <v>1</v>
      </c>
      <c r="G172" s="44" t="s">
        <v>8</v>
      </c>
      <c r="H172" s="44" t="s">
        <v>15</v>
      </c>
    </row>
    <row r="173" spans="1:11" ht="34.5" customHeight="1" x14ac:dyDescent="0.2">
      <c r="A173" s="180" t="s">
        <v>260</v>
      </c>
      <c r="B173" s="134"/>
      <c r="C173" s="3"/>
      <c r="D173" s="3"/>
      <c r="E173" s="3"/>
      <c r="F173" s="3"/>
      <c r="G173" s="3"/>
      <c r="H173" s="33"/>
    </row>
    <row r="174" spans="1:11" ht="32.25" customHeight="1" x14ac:dyDescent="0.2">
      <c r="A174" s="180" t="s">
        <v>259</v>
      </c>
      <c r="B174" s="134"/>
      <c r="C174" s="133"/>
      <c r="D174" s="3"/>
      <c r="E174" s="3"/>
      <c r="F174" s="3"/>
      <c r="G174" s="3"/>
      <c r="H174" s="33"/>
    </row>
    <row r="175" spans="1:11" ht="45" x14ac:dyDescent="0.2">
      <c r="A175" s="182" t="s">
        <v>261</v>
      </c>
      <c r="B175" s="3"/>
      <c r="C175" s="3"/>
      <c r="D175" s="3"/>
      <c r="E175" s="3"/>
      <c r="F175" s="3"/>
      <c r="G175" s="3"/>
      <c r="H175" s="33"/>
    </row>
    <row r="176" spans="1:11" ht="68.25" customHeight="1" x14ac:dyDescent="0.2">
      <c r="A176" s="183" t="s">
        <v>262</v>
      </c>
      <c r="B176" s="134"/>
      <c r="C176" s="3"/>
      <c r="D176" s="3"/>
      <c r="E176" s="3"/>
      <c r="F176" s="3"/>
      <c r="G176" s="3"/>
      <c r="H176" s="33"/>
    </row>
    <row r="177" spans="1:8" ht="47.25" customHeight="1" x14ac:dyDescent="0.2">
      <c r="A177" s="179" t="s">
        <v>263</v>
      </c>
      <c r="B177" s="41">
        <v>0</v>
      </c>
      <c r="C177" s="43">
        <v>0.25</v>
      </c>
      <c r="D177" s="43">
        <v>0.5</v>
      </c>
      <c r="E177" s="43">
        <v>0.75</v>
      </c>
      <c r="F177" s="43">
        <v>1</v>
      </c>
      <c r="G177" s="44" t="s">
        <v>8</v>
      </c>
      <c r="H177" s="44" t="s">
        <v>15</v>
      </c>
    </row>
    <row r="178" spans="1:8" ht="50.25" customHeight="1" x14ac:dyDescent="0.2">
      <c r="A178" s="181" t="s">
        <v>264</v>
      </c>
      <c r="B178" s="3"/>
      <c r="C178" s="3"/>
      <c r="D178" s="3"/>
      <c r="E178" s="3"/>
      <c r="F178" s="3"/>
      <c r="G178" s="3"/>
      <c r="H178" s="33"/>
    </row>
    <row r="179" spans="1:8" ht="38.25" customHeight="1" x14ac:dyDescent="0.2">
      <c r="A179" s="182" t="s">
        <v>265</v>
      </c>
      <c r="B179" s="3"/>
      <c r="C179" s="3"/>
      <c r="D179" s="3"/>
      <c r="E179" s="3"/>
      <c r="F179" s="3"/>
      <c r="G179" s="3"/>
      <c r="H179" s="33"/>
    </row>
    <row r="180" spans="1:8" ht="38.25" customHeight="1" x14ac:dyDescent="0.2">
      <c r="A180" s="182" t="s">
        <v>266</v>
      </c>
      <c r="B180" s="3"/>
      <c r="C180" s="3"/>
      <c r="D180" s="3"/>
      <c r="E180" s="3"/>
      <c r="F180" s="3"/>
      <c r="G180" s="3"/>
      <c r="H180" s="33"/>
    </row>
    <row r="181" spans="1:8" ht="65.25" customHeight="1" x14ac:dyDescent="0.2">
      <c r="A181" s="182" t="s">
        <v>267</v>
      </c>
      <c r="B181" s="3"/>
      <c r="C181" s="3"/>
      <c r="D181" s="3"/>
      <c r="E181" s="3"/>
      <c r="F181" s="3"/>
      <c r="G181" s="3"/>
      <c r="H181" s="33"/>
    </row>
    <row r="182" spans="1:8" ht="51" customHeight="1" x14ac:dyDescent="0.2">
      <c r="A182" s="182" t="s">
        <v>268</v>
      </c>
      <c r="B182" s="3"/>
      <c r="C182" s="3"/>
      <c r="D182" s="3"/>
      <c r="E182" s="3"/>
      <c r="F182" s="3"/>
      <c r="G182" s="3"/>
      <c r="H182" s="33"/>
    </row>
    <row r="183" spans="1:8" ht="36.75" customHeight="1" x14ac:dyDescent="0.2">
      <c r="A183" s="219" t="s">
        <v>269</v>
      </c>
      <c r="B183" s="215"/>
      <c r="C183" s="215"/>
      <c r="D183" s="215"/>
      <c r="E183" s="215"/>
      <c r="F183" s="215"/>
      <c r="G183" s="215"/>
      <c r="H183" s="216"/>
    </row>
    <row r="184" spans="1:8" ht="15.75" x14ac:dyDescent="0.2">
      <c r="A184" s="135" t="s">
        <v>270</v>
      </c>
      <c r="B184" s="43">
        <v>0</v>
      </c>
      <c r="C184" s="46">
        <v>0.25</v>
      </c>
      <c r="D184" s="46">
        <v>0.5</v>
      </c>
      <c r="E184" s="46">
        <v>0.75</v>
      </c>
      <c r="F184" s="46">
        <v>1</v>
      </c>
      <c r="G184" s="47" t="s">
        <v>8</v>
      </c>
      <c r="H184" s="47" t="s">
        <v>15</v>
      </c>
    </row>
    <row r="185" spans="1:8" ht="48.75" customHeight="1" x14ac:dyDescent="0.2">
      <c r="A185" s="184" t="s">
        <v>271</v>
      </c>
      <c r="B185" s="134"/>
      <c r="C185" s="3"/>
      <c r="D185" s="3"/>
      <c r="E185" s="3"/>
      <c r="F185" s="3"/>
      <c r="G185" s="3"/>
      <c r="H185" s="3"/>
    </row>
    <row r="186" spans="1:8" ht="32.25" customHeight="1" x14ac:dyDescent="0.2">
      <c r="A186" s="181" t="s">
        <v>272</v>
      </c>
      <c r="B186" s="134"/>
      <c r="C186" s="3"/>
      <c r="D186" s="3"/>
      <c r="E186" s="3"/>
      <c r="F186" s="3"/>
      <c r="G186" s="3"/>
      <c r="H186" s="3"/>
    </row>
    <row r="187" spans="1:8" ht="52.5" customHeight="1" x14ac:dyDescent="0.2">
      <c r="A187" s="184" t="s">
        <v>273</v>
      </c>
      <c r="B187" s="134"/>
      <c r="C187" s="3"/>
      <c r="D187" s="3"/>
      <c r="E187" s="3"/>
      <c r="F187" s="3"/>
      <c r="G187" s="3"/>
      <c r="H187" s="3"/>
    </row>
    <row r="188" spans="1:8" ht="30" x14ac:dyDescent="0.2">
      <c r="A188" s="181" t="s">
        <v>274</v>
      </c>
      <c r="B188" s="134"/>
      <c r="C188" s="3"/>
      <c r="D188" s="3"/>
      <c r="E188" s="3"/>
      <c r="F188" s="3"/>
      <c r="G188" s="3"/>
      <c r="H188" s="3"/>
    </row>
    <row r="189" spans="1:8" ht="45" x14ac:dyDescent="0.2">
      <c r="A189" s="181" t="s">
        <v>275</v>
      </c>
      <c r="B189" s="134"/>
      <c r="C189" s="3"/>
      <c r="D189" s="3"/>
      <c r="E189" s="3"/>
      <c r="F189" s="3"/>
      <c r="G189" s="3"/>
      <c r="H189" s="3"/>
    </row>
    <row r="190" spans="1:8" ht="60" x14ac:dyDescent="0.2">
      <c r="A190" s="181" t="s">
        <v>276</v>
      </c>
      <c r="B190" s="134"/>
      <c r="C190" s="3"/>
      <c r="D190" s="3"/>
      <c r="E190" s="3"/>
      <c r="F190" s="3"/>
      <c r="G190" s="3"/>
      <c r="H190" s="3"/>
    </row>
    <row r="191" spans="1:8" ht="30" x14ac:dyDescent="0.2">
      <c r="A191" s="184" t="s">
        <v>277</v>
      </c>
      <c r="B191" s="134"/>
      <c r="C191" s="3"/>
      <c r="D191" s="3"/>
      <c r="E191" s="3"/>
      <c r="F191" s="3"/>
      <c r="G191" s="3"/>
      <c r="H191" s="3"/>
    </row>
    <row r="192" spans="1:8" ht="23.25" customHeight="1" x14ac:dyDescent="0.2">
      <c r="A192" s="212" t="s">
        <v>36</v>
      </c>
      <c r="B192" s="212"/>
      <c r="C192" s="212"/>
      <c r="D192" s="212"/>
      <c r="E192" s="212"/>
      <c r="F192" s="212"/>
      <c r="G192" s="212"/>
      <c r="H192" s="212"/>
    </row>
    <row r="193" spans="1:9" ht="30" customHeight="1" x14ac:dyDescent="0.2">
      <c r="A193" s="213" t="s">
        <v>37</v>
      </c>
      <c r="B193" s="213"/>
      <c r="C193" s="213"/>
      <c r="D193" s="213"/>
      <c r="E193" s="213"/>
      <c r="F193" s="213"/>
      <c r="G193" s="213"/>
      <c r="H193" s="213"/>
    </row>
    <row r="194" spans="1:9" ht="30" customHeight="1" x14ac:dyDescent="0.2">
      <c r="A194" s="206" t="s">
        <v>278</v>
      </c>
      <c r="B194" s="207"/>
      <c r="C194" s="207"/>
      <c r="D194" s="207"/>
      <c r="E194" s="207"/>
      <c r="F194" s="207"/>
      <c r="G194" s="207"/>
      <c r="H194" s="208"/>
      <c r="I194" s="194"/>
    </row>
    <row r="195" spans="1:9" ht="30" customHeight="1" x14ac:dyDescent="0.2">
      <c r="A195" s="193" t="s">
        <v>134</v>
      </c>
      <c r="B195" s="50">
        <v>0</v>
      </c>
      <c r="C195" s="48">
        <v>0.25</v>
      </c>
      <c r="D195" s="48">
        <v>0.5</v>
      </c>
      <c r="E195" s="48">
        <v>0.75</v>
      </c>
      <c r="F195" s="48">
        <v>1</v>
      </c>
      <c r="G195" s="49" t="s">
        <v>8</v>
      </c>
      <c r="H195" s="49" t="s">
        <v>15</v>
      </c>
    </row>
    <row r="196" spans="1:9" ht="30.75" customHeight="1" x14ac:dyDescent="0.2">
      <c r="A196" s="136" t="s">
        <v>135</v>
      </c>
      <c r="B196" s="134"/>
      <c r="C196" s="3"/>
      <c r="D196" s="3"/>
      <c r="E196" s="3"/>
      <c r="F196" s="3"/>
      <c r="G196" s="3"/>
      <c r="H196" s="3"/>
    </row>
    <row r="197" spans="1:9" ht="39" customHeight="1" x14ac:dyDescent="0.2">
      <c r="A197" s="136" t="s">
        <v>279</v>
      </c>
      <c r="B197" s="134"/>
      <c r="C197" s="3"/>
      <c r="D197" s="3"/>
      <c r="E197" s="3"/>
      <c r="F197" s="3"/>
      <c r="G197" s="3"/>
      <c r="H197" s="3"/>
    </row>
    <row r="198" spans="1:9" ht="39" customHeight="1" x14ac:dyDescent="0.2">
      <c r="A198" s="136" t="s">
        <v>280</v>
      </c>
      <c r="B198" s="134"/>
      <c r="C198" s="3"/>
      <c r="D198" s="3"/>
      <c r="E198" s="3"/>
      <c r="F198" s="3"/>
      <c r="G198" s="3"/>
      <c r="H198" s="3"/>
    </row>
    <row r="199" spans="1:9" ht="39" customHeight="1" x14ac:dyDescent="0.2">
      <c r="A199" s="136" t="s">
        <v>281</v>
      </c>
      <c r="B199" s="134"/>
      <c r="C199" s="3"/>
      <c r="D199" s="3"/>
      <c r="E199" s="3"/>
      <c r="F199" s="3"/>
      <c r="G199" s="3"/>
      <c r="H199" s="3"/>
    </row>
    <row r="200" spans="1:9" ht="39" customHeight="1" x14ac:dyDescent="0.2">
      <c r="A200" s="136" t="s">
        <v>282</v>
      </c>
      <c r="B200" s="134"/>
      <c r="C200" s="3"/>
      <c r="D200" s="3"/>
      <c r="E200" s="3"/>
      <c r="F200" s="3"/>
      <c r="G200" s="3"/>
      <c r="H200" s="3"/>
    </row>
    <row r="201" spans="1:9" ht="39" customHeight="1" x14ac:dyDescent="0.2">
      <c r="A201" s="136" t="s">
        <v>283</v>
      </c>
      <c r="B201" s="134"/>
      <c r="C201" s="3"/>
      <c r="D201" s="3"/>
      <c r="E201" s="3"/>
      <c r="F201" s="3"/>
      <c r="G201" s="3"/>
      <c r="H201" s="3"/>
    </row>
    <row r="202" spans="1:9" ht="39" customHeight="1" x14ac:dyDescent="0.2">
      <c r="A202" s="136" t="s">
        <v>284</v>
      </c>
      <c r="B202" s="134"/>
      <c r="C202" s="3"/>
      <c r="D202" s="3"/>
      <c r="E202" s="3"/>
      <c r="F202" s="3"/>
      <c r="G202" s="3"/>
      <c r="H202" s="3"/>
    </row>
    <row r="203" spans="1:9" ht="60" x14ac:dyDescent="0.2">
      <c r="A203" s="136" t="s">
        <v>285</v>
      </c>
      <c r="B203" s="134"/>
      <c r="C203" s="3"/>
      <c r="D203" s="3"/>
      <c r="E203" s="3"/>
      <c r="F203" s="3"/>
      <c r="G203" s="3"/>
      <c r="H203" s="3"/>
    </row>
    <row r="204" spans="1:9" ht="45" x14ac:dyDescent="0.2">
      <c r="A204" s="136" t="s">
        <v>286</v>
      </c>
      <c r="B204" s="134"/>
      <c r="C204" s="3"/>
      <c r="D204" s="3"/>
      <c r="E204" s="3"/>
      <c r="F204" s="3"/>
      <c r="G204" s="3"/>
      <c r="H204" s="3"/>
    </row>
    <row r="205" spans="1:9" ht="27" customHeight="1" x14ac:dyDescent="0.2">
      <c r="A205" s="206" t="s">
        <v>287</v>
      </c>
      <c r="B205" s="207"/>
      <c r="C205" s="207"/>
      <c r="D205" s="207"/>
      <c r="E205" s="207"/>
      <c r="F205" s="207"/>
      <c r="G205" s="207"/>
      <c r="H205" s="208"/>
    </row>
    <row r="206" spans="1:9" ht="27" customHeight="1" x14ac:dyDescent="0.2">
      <c r="A206" s="190" t="s">
        <v>270</v>
      </c>
      <c r="B206" s="50">
        <v>0</v>
      </c>
      <c r="C206" s="48">
        <v>0.25</v>
      </c>
      <c r="D206" s="48">
        <v>0.5</v>
      </c>
      <c r="E206" s="48">
        <v>0.75</v>
      </c>
      <c r="F206" s="48">
        <v>1</v>
      </c>
      <c r="G206" s="49" t="s">
        <v>8</v>
      </c>
      <c r="H206" s="49" t="s">
        <v>15</v>
      </c>
    </row>
    <row r="207" spans="1:9" ht="28.5" customHeight="1" x14ac:dyDescent="0.2">
      <c r="A207" s="136" t="s">
        <v>288</v>
      </c>
      <c r="B207" s="134"/>
      <c r="C207" s="3"/>
      <c r="D207" s="3"/>
      <c r="E207" s="3"/>
      <c r="F207" s="3"/>
      <c r="G207" s="3"/>
      <c r="H207" s="3"/>
    </row>
    <row r="208" spans="1:9" ht="39" customHeight="1" x14ac:dyDescent="0.2">
      <c r="A208" s="136" t="s">
        <v>289</v>
      </c>
      <c r="B208" s="134"/>
      <c r="C208" s="3"/>
      <c r="D208" s="3"/>
      <c r="E208" s="3"/>
      <c r="F208" s="3"/>
      <c r="G208" s="3"/>
      <c r="H208" s="3"/>
    </row>
    <row r="209" spans="1:8" ht="39" customHeight="1" x14ac:dyDescent="0.2">
      <c r="A209" s="136" t="s">
        <v>290</v>
      </c>
      <c r="B209" s="134"/>
      <c r="C209" s="3"/>
      <c r="D209" s="3"/>
      <c r="E209" s="3"/>
      <c r="F209" s="3"/>
      <c r="G209" s="3"/>
      <c r="H209" s="3"/>
    </row>
    <row r="210" spans="1:8" ht="39" customHeight="1" x14ac:dyDescent="0.2">
      <c r="A210" s="136" t="s">
        <v>291</v>
      </c>
      <c r="B210" s="134"/>
      <c r="C210" s="3"/>
      <c r="D210" s="3"/>
      <c r="E210" s="3"/>
      <c r="F210" s="3"/>
      <c r="G210" s="3"/>
      <c r="H210" s="3"/>
    </row>
    <row r="211" spans="1:8" ht="39" customHeight="1" x14ac:dyDescent="0.2">
      <c r="A211" s="213" t="s">
        <v>38</v>
      </c>
      <c r="B211" s="213"/>
      <c r="C211" s="213"/>
      <c r="D211" s="213"/>
      <c r="E211" s="213"/>
      <c r="F211" s="213"/>
      <c r="G211" s="213"/>
      <c r="H211" s="213"/>
    </row>
    <row r="212" spans="1:8" ht="34.5" customHeight="1" x14ac:dyDescent="0.2">
      <c r="A212" s="206" t="s">
        <v>292</v>
      </c>
      <c r="B212" s="207"/>
      <c r="C212" s="207"/>
      <c r="D212" s="207"/>
      <c r="E212" s="207"/>
      <c r="F212" s="207"/>
      <c r="G212" s="207"/>
      <c r="H212" s="208"/>
    </row>
    <row r="213" spans="1:8" ht="49.5" customHeight="1" x14ac:dyDescent="0.2">
      <c r="A213" s="193" t="s">
        <v>293</v>
      </c>
      <c r="B213" s="50">
        <v>0</v>
      </c>
      <c r="C213" s="48">
        <v>0.25</v>
      </c>
      <c r="D213" s="48">
        <v>0.5</v>
      </c>
      <c r="E213" s="48">
        <v>0.75</v>
      </c>
      <c r="F213" s="48">
        <v>1</v>
      </c>
      <c r="G213" s="49" t="s">
        <v>8</v>
      </c>
      <c r="H213" s="49" t="s">
        <v>15</v>
      </c>
    </row>
    <row r="214" spans="1:8" ht="35.25" customHeight="1" x14ac:dyDescent="0.2">
      <c r="A214" s="136" t="s">
        <v>294</v>
      </c>
      <c r="B214" s="134"/>
      <c r="C214" s="3"/>
      <c r="D214" s="3"/>
      <c r="E214" s="3"/>
      <c r="F214" s="3"/>
      <c r="G214" s="3"/>
      <c r="H214" s="3"/>
    </row>
    <row r="215" spans="1:8" ht="26.25" customHeight="1" x14ac:dyDescent="0.2">
      <c r="A215" s="136" t="s">
        <v>295</v>
      </c>
      <c r="B215" s="134"/>
      <c r="C215" s="3"/>
      <c r="D215" s="3"/>
      <c r="E215" s="3"/>
      <c r="F215" s="3"/>
      <c r="G215" s="3"/>
      <c r="H215" s="3"/>
    </row>
    <row r="216" spans="1:8" ht="28.5" customHeight="1" x14ac:dyDescent="0.2">
      <c r="A216" s="136" t="s">
        <v>296</v>
      </c>
      <c r="B216" s="134"/>
      <c r="C216" s="3"/>
      <c r="D216" s="3"/>
      <c r="E216" s="3"/>
      <c r="F216" s="3"/>
      <c r="G216" s="3"/>
      <c r="H216" s="3"/>
    </row>
    <row r="217" spans="1:8" ht="30" customHeight="1" x14ac:dyDescent="0.2">
      <c r="A217" s="206" t="s">
        <v>297</v>
      </c>
      <c r="B217" s="207"/>
      <c r="C217" s="207"/>
      <c r="D217" s="207"/>
      <c r="E217" s="207"/>
      <c r="F217" s="207"/>
      <c r="G217" s="207"/>
      <c r="H217" s="208"/>
    </row>
    <row r="218" spans="1:8" ht="30" customHeight="1" x14ac:dyDescent="0.2">
      <c r="A218" s="193" t="s">
        <v>28</v>
      </c>
      <c r="B218" s="50">
        <v>0</v>
      </c>
      <c r="C218" s="48">
        <v>0.25</v>
      </c>
      <c r="D218" s="48">
        <v>0.5</v>
      </c>
      <c r="E218" s="48">
        <v>0.75</v>
      </c>
      <c r="F218" s="48">
        <v>1</v>
      </c>
      <c r="G218" s="49" t="s">
        <v>8</v>
      </c>
      <c r="H218" s="49" t="s">
        <v>15</v>
      </c>
    </row>
    <row r="219" spans="1:8" ht="60" x14ac:dyDescent="0.2">
      <c r="A219" s="136" t="s">
        <v>298</v>
      </c>
      <c r="B219" s="134"/>
      <c r="C219" s="3"/>
      <c r="D219" s="3"/>
      <c r="E219" s="3"/>
      <c r="F219" s="3"/>
      <c r="G219" s="3"/>
      <c r="H219" s="3"/>
    </row>
    <row r="220" spans="1:8" ht="60" x14ac:dyDescent="0.2">
      <c r="A220" s="136" t="s">
        <v>299</v>
      </c>
      <c r="B220" s="134"/>
      <c r="C220" s="3"/>
      <c r="D220" s="3"/>
      <c r="E220" s="3"/>
      <c r="F220" s="3"/>
      <c r="G220" s="3"/>
      <c r="H220" s="3"/>
    </row>
    <row r="221" spans="1:8" x14ac:dyDescent="0.2">
      <c r="A221" s="136" t="s">
        <v>300</v>
      </c>
      <c r="B221" s="134"/>
      <c r="C221" s="3"/>
      <c r="D221" s="3"/>
      <c r="E221" s="3"/>
      <c r="F221" s="3"/>
      <c r="G221" s="3"/>
      <c r="H221" s="3"/>
    </row>
    <row r="222" spans="1:8" ht="39.75" customHeight="1" x14ac:dyDescent="0.2">
      <c r="A222" s="136" t="s">
        <v>301</v>
      </c>
      <c r="B222" s="134"/>
      <c r="C222" s="3"/>
      <c r="D222" s="3"/>
      <c r="E222" s="3"/>
      <c r="F222" s="3"/>
      <c r="G222" s="3"/>
      <c r="H222" s="3"/>
    </row>
    <row r="223" spans="1:8" ht="29.25" customHeight="1" x14ac:dyDescent="0.2">
      <c r="A223" s="136" t="s">
        <v>302</v>
      </c>
      <c r="B223" s="187"/>
      <c r="C223" s="186"/>
      <c r="D223" s="186"/>
      <c r="E223" s="186"/>
      <c r="F223" s="186"/>
      <c r="G223" s="186"/>
      <c r="H223" s="186"/>
    </row>
    <row r="224" spans="1:8" ht="42" customHeight="1" x14ac:dyDescent="0.2">
      <c r="A224" s="136" t="s">
        <v>303</v>
      </c>
      <c r="B224" s="187"/>
      <c r="C224" s="186"/>
      <c r="D224" s="186"/>
      <c r="E224" s="186"/>
      <c r="F224" s="186"/>
      <c r="G224" s="186"/>
      <c r="H224" s="186"/>
    </row>
    <row r="225" spans="1:8" ht="42" customHeight="1" x14ac:dyDescent="0.2">
      <c r="A225" s="214" t="s">
        <v>39</v>
      </c>
      <c r="B225" s="215"/>
      <c r="C225" s="215"/>
      <c r="D225" s="215"/>
      <c r="E225" s="215"/>
      <c r="F225" s="215"/>
      <c r="G225" s="215"/>
      <c r="H225" s="216"/>
    </row>
    <row r="226" spans="1:8" ht="36" customHeight="1" x14ac:dyDescent="0.2">
      <c r="A226" s="195" t="s">
        <v>120</v>
      </c>
      <c r="B226" s="50">
        <v>0</v>
      </c>
      <c r="C226" s="48">
        <v>0.25</v>
      </c>
      <c r="D226" s="48">
        <v>0.5</v>
      </c>
      <c r="E226" s="48">
        <v>0.75</v>
      </c>
      <c r="F226" s="48">
        <v>1</v>
      </c>
      <c r="G226" s="49" t="s">
        <v>8</v>
      </c>
      <c r="H226" s="49" t="s">
        <v>15</v>
      </c>
    </row>
    <row r="227" spans="1:8" ht="50.25" customHeight="1" x14ac:dyDescent="0.2">
      <c r="A227" s="136" t="s">
        <v>304</v>
      </c>
      <c r="B227" s="134"/>
      <c r="C227" s="3"/>
      <c r="D227" s="3"/>
      <c r="E227" s="3"/>
      <c r="F227" s="3"/>
      <c r="G227" s="3"/>
      <c r="H227" s="3"/>
    </row>
    <row r="228" spans="1:8" ht="37.5" customHeight="1" x14ac:dyDescent="0.2">
      <c r="A228" s="136" t="s">
        <v>305</v>
      </c>
      <c r="B228" s="134"/>
      <c r="C228" s="3"/>
      <c r="D228" s="3"/>
      <c r="E228" s="3"/>
      <c r="F228" s="3"/>
      <c r="G228" s="3"/>
      <c r="H228" s="3"/>
    </row>
    <row r="229" spans="1:8" ht="35.25" customHeight="1" x14ac:dyDescent="0.2">
      <c r="A229" s="136" t="s">
        <v>306</v>
      </c>
      <c r="B229" s="134"/>
      <c r="C229" s="3"/>
      <c r="D229" s="3"/>
      <c r="E229" s="3"/>
      <c r="F229" s="3"/>
      <c r="G229" s="3"/>
      <c r="H229" s="3"/>
    </row>
    <row r="230" spans="1:8" ht="52.5" customHeight="1" x14ac:dyDescent="0.2">
      <c r="A230" s="136" t="s">
        <v>307</v>
      </c>
      <c r="B230" s="134"/>
      <c r="C230" s="3"/>
      <c r="D230" s="3"/>
      <c r="E230" s="3"/>
      <c r="F230" s="3"/>
      <c r="G230" s="3"/>
      <c r="H230" s="3"/>
    </row>
    <row r="231" spans="1:8" ht="52.5" customHeight="1" x14ac:dyDescent="0.2">
      <c r="A231" s="136" t="s">
        <v>308</v>
      </c>
      <c r="B231" s="134"/>
      <c r="C231" s="3"/>
      <c r="D231" s="3"/>
      <c r="E231" s="3"/>
      <c r="F231" s="3"/>
      <c r="G231" s="3"/>
      <c r="H231" s="3"/>
    </row>
    <row r="232" spans="1:8" ht="52.5" customHeight="1" x14ac:dyDescent="0.2">
      <c r="A232" s="136" t="s">
        <v>309</v>
      </c>
      <c r="B232" s="134"/>
      <c r="C232" s="3"/>
      <c r="D232" s="3"/>
      <c r="E232" s="3"/>
      <c r="F232" s="3"/>
      <c r="G232" s="3"/>
      <c r="H232" s="3"/>
    </row>
    <row r="233" spans="1:8" ht="52.5" customHeight="1" x14ac:dyDescent="0.2">
      <c r="A233" s="136" t="s">
        <v>310</v>
      </c>
      <c r="B233" s="134"/>
      <c r="C233" s="3"/>
      <c r="D233" s="3"/>
      <c r="E233" s="3"/>
      <c r="F233" s="3"/>
      <c r="G233" s="3"/>
      <c r="H233" s="3"/>
    </row>
    <row r="234" spans="1:8" ht="52.5" customHeight="1" x14ac:dyDescent="0.2">
      <c r="A234" s="136" t="s">
        <v>311</v>
      </c>
      <c r="B234" s="134"/>
      <c r="C234" s="3"/>
      <c r="D234" s="3"/>
      <c r="E234" s="3"/>
      <c r="F234" s="3"/>
      <c r="G234" s="3"/>
      <c r="H234" s="3"/>
    </row>
    <row r="235" spans="1:8" ht="52.5" customHeight="1" x14ac:dyDescent="0.2">
      <c r="A235" s="136" t="s">
        <v>312</v>
      </c>
      <c r="B235" s="134"/>
      <c r="C235" s="3"/>
      <c r="D235" s="3"/>
      <c r="E235" s="3"/>
      <c r="F235" s="3"/>
      <c r="G235" s="3"/>
      <c r="H235" s="3"/>
    </row>
    <row r="236" spans="1:8" ht="54.75" customHeight="1" x14ac:dyDescent="0.2">
      <c r="A236" s="136" t="s">
        <v>313</v>
      </c>
      <c r="B236" s="134"/>
      <c r="C236" s="3"/>
      <c r="D236" s="3"/>
      <c r="E236" s="3"/>
      <c r="F236" s="3"/>
      <c r="G236" s="3"/>
      <c r="H236" s="3"/>
    </row>
    <row r="237" spans="1:8" ht="52.5" customHeight="1" x14ac:dyDescent="0.2">
      <c r="A237" s="136" t="s">
        <v>314</v>
      </c>
      <c r="B237" s="134"/>
      <c r="C237" s="3"/>
      <c r="D237" s="3"/>
      <c r="E237" s="3"/>
      <c r="F237" s="3"/>
      <c r="G237" s="3"/>
      <c r="H237" s="3"/>
    </row>
    <row r="238" spans="1:8" ht="52.5" customHeight="1" x14ac:dyDescent="0.2">
      <c r="A238" s="136" t="s">
        <v>315</v>
      </c>
      <c r="B238" s="134"/>
      <c r="C238" s="3"/>
      <c r="D238" s="3"/>
      <c r="E238" s="3"/>
      <c r="F238" s="3"/>
      <c r="G238" s="3"/>
      <c r="H238" s="3"/>
    </row>
    <row r="239" spans="1:8" ht="52.5" customHeight="1" x14ac:dyDescent="0.2">
      <c r="A239" s="136" t="s">
        <v>316</v>
      </c>
      <c r="B239" s="134"/>
      <c r="C239" s="3"/>
      <c r="D239" s="3"/>
      <c r="E239" s="3"/>
      <c r="F239" s="3"/>
      <c r="G239" s="3"/>
      <c r="H239" s="3"/>
    </row>
    <row r="240" spans="1:8" ht="35.25" customHeight="1" x14ac:dyDescent="0.2">
      <c r="A240" s="136" t="s">
        <v>317</v>
      </c>
      <c r="B240" s="134"/>
      <c r="C240" s="3"/>
      <c r="D240" s="3"/>
      <c r="E240" s="3"/>
      <c r="F240" s="3"/>
      <c r="G240" s="3"/>
      <c r="H240" s="3"/>
    </row>
    <row r="241" spans="1:8" ht="35.25" customHeight="1" x14ac:dyDescent="0.2">
      <c r="A241" s="195" t="s">
        <v>327</v>
      </c>
      <c r="B241" s="50">
        <v>0</v>
      </c>
      <c r="C241" s="48">
        <v>0.25</v>
      </c>
      <c r="D241" s="48">
        <v>0.5</v>
      </c>
      <c r="E241" s="48">
        <v>0.75</v>
      </c>
      <c r="F241" s="48">
        <v>1</v>
      </c>
      <c r="G241" s="49" t="s">
        <v>8</v>
      </c>
      <c r="H241" s="49" t="s">
        <v>15</v>
      </c>
    </row>
    <row r="242" spans="1:8" ht="35.25" customHeight="1" x14ac:dyDescent="0.2">
      <c r="A242" s="136" t="s">
        <v>318</v>
      </c>
      <c r="B242" s="187"/>
      <c r="C242" s="186"/>
      <c r="D242" s="186"/>
      <c r="E242" s="186"/>
      <c r="F242" s="186"/>
      <c r="G242" s="186"/>
      <c r="H242" s="186"/>
    </row>
    <row r="243" spans="1:8" ht="35.25" customHeight="1" x14ac:dyDescent="0.2">
      <c r="A243" s="136" t="s">
        <v>319</v>
      </c>
      <c r="B243" s="187"/>
      <c r="C243" s="186"/>
      <c r="D243" s="186"/>
      <c r="E243" s="186"/>
      <c r="F243" s="186"/>
      <c r="G243" s="186"/>
      <c r="H243" s="186"/>
    </row>
    <row r="244" spans="1:8" ht="35.25" customHeight="1" x14ac:dyDescent="0.2">
      <c r="A244" s="136" t="s">
        <v>320</v>
      </c>
      <c r="B244" s="187"/>
      <c r="C244" s="186"/>
      <c r="D244" s="186"/>
      <c r="E244" s="186"/>
      <c r="F244" s="186"/>
      <c r="G244" s="186"/>
      <c r="H244" s="186"/>
    </row>
    <row r="245" spans="1:8" ht="35.25" customHeight="1" x14ac:dyDescent="0.2">
      <c r="A245" s="136" t="s">
        <v>321</v>
      </c>
      <c r="B245" s="187"/>
      <c r="C245" s="186"/>
      <c r="D245" s="186"/>
      <c r="E245" s="186"/>
      <c r="F245" s="186"/>
      <c r="G245" s="186"/>
      <c r="H245" s="186"/>
    </row>
    <row r="246" spans="1:8" ht="35.25" customHeight="1" x14ac:dyDescent="0.2">
      <c r="A246" s="136" t="s">
        <v>322</v>
      </c>
      <c r="B246" s="187"/>
      <c r="C246" s="186"/>
      <c r="D246" s="186"/>
      <c r="E246" s="186"/>
      <c r="F246" s="186"/>
      <c r="G246" s="186"/>
      <c r="H246" s="186"/>
    </row>
    <row r="247" spans="1:8" ht="35.25" customHeight="1" x14ac:dyDescent="0.2">
      <c r="A247" s="136" t="s">
        <v>323</v>
      </c>
      <c r="B247" s="187"/>
      <c r="C247" s="186"/>
      <c r="D247" s="186"/>
      <c r="E247" s="186"/>
      <c r="F247" s="186"/>
      <c r="G247" s="186"/>
      <c r="H247" s="186"/>
    </row>
    <row r="248" spans="1:8" ht="35.25" customHeight="1" x14ac:dyDescent="0.2">
      <c r="A248" s="136" t="s">
        <v>324</v>
      </c>
      <c r="B248" s="187"/>
      <c r="C248" s="186"/>
      <c r="D248" s="186"/>
      <c r="E248" s="186"/>
      <c r="F248" s="186"/>
      <c r="G248" s="186"/>
      <c r="H248" s="186"/>
    </row>
    <row r="249" spans="1:8" ht="22.5" customHeight="1" x14ac:dyDescent="0.2">
      <c r="A249" s="209" t="s">
        <v>40</v>
      </c>
      <c r="B249" s="210"/>
      <c r="C249" s="210"/>
      <c r="D249" s="210"/>
      <c r="E249" s="210"/>
      <c r="F249" s="210"/>
      <c r="G249" s="210"/>
      <c r="H249" s="211"/>
    </row>
    <row r="250" spans="1:8" ht="27" customHeight="1" x14ac:dyDescent="0.2">
      <c r="A250" s="199" t="s">
        <v>95</v>
      </c>
      <c r="B250" s="202">
        <v>0</v>
      </c>
      <c r="C250" s="201">
        <v>0.25</v>
      </c>
      <c r="D250" s="48">
        <v>0.5</v>
      </c>
      <c r="E250" s="48">
        <v>0.75</v>
      </c>
      <c r="F250" s="48">
        <v>1</v>
      </c>
      <c r="G250" s="49" t="s">
        <v>8</v>
      </c>
      <c r="H250" s="49" t="s">
        <v>15</v>
      </c>
    </row>
    <row r="251" spans="1:8" ht="54" customHeight="1" x14ac:dyDescent="0.2">
      <c r="A251" s="200" t="s">
        <v>325</v>
      </c>
      <c r="B251" s="196"/>
      <c r="C251" s="197"/>
      <c r="D251" s="197"/>
      <c r="E251" s="197"/>
      <c r="F251" s="197"/>
      <c r="G251" s="197"/>
      <c r="H251" s="197"/>
    </row>
    <row r="252" spans="1:8" ht="38.25" customHeight="1" x14ac:dyDescent="0.2">
      <c r="A252" s="224" t="s">
        <v>41</v>
      </c>
      <c r="B252" s="225"/>
      <c r="C252" s="225"/>
      <c r="D252" s="225"/>
      <c r="E252" s="225"/>
      <c r="F252" s="225"/>
      <c r="G252" s="225"/>
      <c r="H252" s="226"/>
    </row>
    <row r="253" spans="1:8" ht="39.75" customHeight="1" x14ac:dyDescent="0.2">
      <c r="A253" s="198" t="s">
        <v>326</v>
      </c>
      <c r="B253" s="48">
        <v>0</v>
      </c>
      <c r="C253" s="48">
        <v>0.25</v>
      </c>
      <c r="D253" s="48">
        <v>0.5</v>
      </c>
      <c r="E253" s="48">
        <v>0.75</v>
      </c>
      <c r="F253" s="48">
        <v>1</v>
      </c>
      <c r="G253" s="49" t="s">
        <v>8</v>
      </c>
      <c r="H253" s="49" t="s">
        <v>15</v>
      </c>
    </row>
    <row r="254" spans="1:8" customFormat="1" ht="38.25" customHeight="1" x14ac:dyDescent="0.25">
      <c r="A254" s="136" t="s">
        <v>328</v>
      </c>
      <c r="B254" s="187"/>
      <c r="C254" s="186"/>
      <c r="D254" s="186"/>
      <c r="E254" s="186"/>
      <c r="F254" s="186"/>
      <c r="G254" s="186"/>
      <c r="H254" s="186"/>
    </row>
    <row r="255" spans="1:8" customFormat="1" ht="56.25" customHeight="1" x14ac:dyDescent="0.25">
      <c r="A255" s="136" t="s">
        <v>329</v>
      </c>
      <c r="B255" s="187"/>
      <c r="C255" s="186"/>
      <c r="D255" s="186"/>
      <c r="E255" s="186"/>
      <c r="F255" s="186"/>
      <c r="G255" s="186"/>
      <c r="H255" s="186"/>
    </row>
    <row r="256" spans="1:8" customFormat="1" ht="59.25" customHeight="1" x14ac:dyDescent="0.25">
      <c r="A256" s="136" t="s">
        <v>333</v>
      </c>
      <c r="B256" s="187"/>
      <c r="C256" s="186"/>
      <c r="D256" s="186"/>
      <c r="E256" s="186"/>
      <c r="F256" s="186"/>
      <c r="G256" s="186"/>
      <c r="H256" s="186"/>
    </row>
    <row r="257" spans="1:8" customFormat="1" ht="31.5" customHeight="1" x14ac:dyDescent="0.25">
      <c r="A257" s="136" t="s">
        <v>330</v>
      </c>
      <c r="B257" s="187"/>
      <c r="C257" s="186"/>
      <c r="D257" s="186"/>
      <c r="E257" s="186"/>
      <c r="F257" s="186"/>
      <c r="G257" s="186"/>
      <c r="H257" s="186"/>
    </row>
    <row r="258" spans="1:8" customFormat="1" ht="27.75" customHeight="1" x14ac:dyDescent="0.25">
      <c r="A258" s="136" t="s">
        <v>331</v>
      </c>
      <c r="B258" s="187"/>
      <c r="C258" s="186"/>
      <c r="D258" s="186"/>
      <c r="E258" s="186"/>
      <c r="F258" s="186"/>
      <c r="G258" s="186"/>
      <c r="H258" s="186"/>
    </row>
    <row r="259" spans="1:8" customFormat="1" ht="36.75" customHeight="1" x14ac:dyDescent="0.25">
      <c r="A259" s="136" t="s">
        <v>332</v>
      </c>
      <c r="B259" s="187"/>
      <c r="C259" s="186"/>
      <c r="D259" s="186"/>
      <c r="E259" s="186"/>
      <c r="F259" s="186"/>
      <c r="G259" s="186"/>
      <c r="H259" s="186"/>
    </row>
    <row r="260" spans="1:8" customFormat="1" ht="38.25" customHeight="1" x14ac:dyDescent="0.25">
      <c r="A260" s="136" t="s">
        <v>334</v>
      </c>
      <c r="B260" s="187"/>
      <c r="C260" s="186"/>
      <c r="D260" s="186"/>
      <c r="E260" s="186"/>
      <c r="F260" s="186"/>
      <c r="G260" s="186"/>
      <c r="H260" s="186"/>
    </row>
    <row r="261" spans="1:8" customFormat="1" ht="21.75" customHeight="1" x14ac:dyDescent="0.25">
      <c r="A261" s="136" t="s">
        <v>335</v>
      </c>
      <c r="B261" s="187"/>
      <c r="C261" s="186"/>
      <c r="D261" s="186"/>
      <c r="E261" s="186"/>
      <c r="F261" s="186"/>
      <c r="G261" s="186"/>
      <c r="H261" s="186"/>
    </row>
    <row r="262" spans="1:8" customFormat="1" ht="39.75" customHeight="1" x14ac:dyDescent="0.25">
      <c r="A262" s="136" t="s">
        <v>336</v>
      </c>
      <c r="B262" s="187"/>
      <c r="C262" s="186"/>
      <c r="D262" s="186"/>
      <c r="E262" s="186"/>
      <c r="F262" s="186"/>
      <c r="G262" s="186"/>
      <c r="H262" s="186"/>
    </row>
    <row r="263" spans="1:8" customFormat="1" ht="48" customHeight="1" x14ac:dyDescent="0.25">
      <c r="A263" s="136" t="s">
        <v>337</v>
      </c>
      <c r="B263" s="187"/>
      <c r="C263" s="186"/>
      <c r="D263" s="186"/>
      <c r="E263" s="186"/>
      <c r="F263" s="186"/>
      <c r="G263" s="186"/>
      <c r="H263" s="186"/>
    </row>
    <row r="264" spans="1:8" customFormat="1" ht="47.25" customHeight="1" x14ac:dyDescent="0.25">
      <c r="A264" s="136" t="s">
        <v>338</v>
      </c>
      <c r="B264" s="187"/>
      <c r="C264" s="186"/>
      <c r="D264" s="186"/>
      <c r="E264" s="186"/>
      <c r="F264" s="186"/>
      <c r="G264" s="186"/>
      <c r="H264" s="186"/>
    </row>
    <row r="265" spans="1:8" customFormat="1" ht="27.75" customHeight="1" x14ac:dyDescent="0.25">
      <c r="A265" s="136" t="s">
        <v>339</v>
      </c>
      <c r="B265" s="187"/>
      <c r="C265" s="186"/>
      <c r="D265" s="186"/>
      <c r="E265" s="186"/>
      <c r="F265" s="186"/>
      <c r="G265" s="186"/>
      <c r="H265" s="186"/>
    </row>
    <row r="266" spans="1:8" customFormat="1" ht="27.75" customHeight="1" x14ac:dyDescent="0.25">
      <c r="A266" s="199" t="s">
        <v>340</v>
      </c>
      <c r="B266" s="202">
        <v>0</v>
      </c>
      <c r="C266" s="201">
        <v>0.25</v>
      </c>
      <c r="D266" s="48">
        <v>0.5</v>
      </c>
      <c r="E266" s="48">
        <v>0.75</v>
      </c>
      <c r="F266" s="48">
        <v>1</v>
      </c>
      <c r="G266" s="49" t="s">
        <v>8</v>
      </c>
      <c r="H266" s="49" t="s">
        <v>15</v>
      </c>
    </row>
    <row r="267" spans="1:8" customFormat="1" ht="36" customHeight="1" x14ac:dyDescent="0.25">
      <c r="A267" s="136" t="s">
        <v>341</v>
      </c>
      <c r="B267" s="187"/>
      <c r="C267" s="186"/>
      <c r="D267" s="186"/>
      <c r="E267" s="186"/>
      <c r="F267" s="186"/>
      <c r="G267" s="186"/>
      <c r="H267" s="186"/>
    </row>
    <row r="268" spans="1:8" customFormat="1" ht="39" customHeight="1" x14ac:dyDescent="0.25"/>
    <row r="269" spans="1:8" customFormat="1" ht="69.75" customHeight="1" x14ac:dyDescent="0.25"/>
  </sheetData>
  <mergeCells count="42">
    <mergeCell ref="A252:H252"/>
    <mergeCell ref="A1:H1"/>
    <mergeCell ref="A120:H120"/>
    <mergeCell ref="A63:H63"/>
    <mergeCell ref="A100:H100"/>
    <mergeCell ref="A109:H109"/>
    <mergeCell ref="A56:H56"/>
    <mergeCell ref="A61:H61"/>
    <mergeCell ref="A62:H62"/>
    <mergeCell ref="A75:H75"/>
    <mergeCell ref="A117:H117"/>
    <mergeCell ref="A33:H33"/>
    <mergeCell ref="A34:H34"/>
    <mergeCell ref="A45:H45"/>
    <mergeCell ref="A8:H11"/>
    <mergeCell ref="A13:H13"/>
    <mergeCell ref="A85:H85"/>
    <mergeCell ref="A91:H91"/>
    <mergeCell ref="A99:H99"/>
    <mergeCell ref="A134:H134"/>
    <mergeCell ref="A12:H12"/>
    <mergeCell ref="A17:H17"/>
    <mergeCell ref="A22:H22"/>
    <mergeCell ref="A127:H127"/>
    <mergeCell ref="A133:H133"/>
    <mergeCell ref="A171:H171"/>
    <mergeCell ref="A144:H144"/>
    <mergeCell ref="A151:H151"/>
    <mergeCell ref="A183:H183"/>
    <mergeCell ref="A205:H205"/>
    <mergeCell ref="A170:H170"/>
    <mergeCell ref="A152:H152"/>
    <mergeCell ref="A156:H156"/>
    <mergeCell ref="A161:H161"/>
    <mergeCell ref="A217:H217"/>
    <mergeCell ref="A249:H249"/>
    <mergeCell ref="A192:H192"/>
    <mergeCell ref="A193:H193"/>
    <mergeCell ref="A225:H225"/>
    <mergeCell ref="A194:H194"/>
    <mergeCell ref="A211:H211"/>
    <mergeCell ref="A212:H212"/>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77"/>
  <sheetViews>
    <sheetView topLeftCell="A11" zoomScale="80" zoomScaleNormal="80" workbookViewId="0">
      <selection activeCell="C30" sqref="C30"/>
    </sheetView>
  </sheetViews>
  <sheetFormatPr defaultColWidth="11.42578125" defaultRowHeight="15" x14ac:dyDescent="0.25"/>
  <cols>
    <col min="1" max="1" width="4.5703125" style="38" customWidth="1"/>
    <col min="2" max="2" width="10" style="38" bestFit="1" customWidth="1"/>
    <col min="3" max="8" width="9.5703125" style="38" customWidth="1"/>
    <col min="9" max="9" width="11.42578125" style="38" customWidth="1"/>
    <col min="10" max="10" width="6" style="38" customWidth="1"/>
    <col min="11" max="11" width="8.140625" style="38" customWidth="1"/>
    <col min="12" max="12" width="48.140625" style="38" customWidth="1"/>
    <col min="13" max="13" width="25.42578125" style="38" customWidth="1"/>
    <col min="14" max="14" width="13.85546875" style="38" customWidth="1"/>
    <col min="15" max="15" width="15.85546875" style="38" customWidth="1"/>
    <col min="16" max="16" width="5.42578125" style="38" bestFit="1" customWidth="1"/>
    <col min="17" max="17" width="6.28515625" style="38" customWidth="1"/>
    <col min="18" max="28" width="11.42578125" style="38" customWidth="1"/>
    <col min="29" max="29" width="17.140625" style="38" customWidth="1"/>
    <col min="30" max="257" width="11.42578125" style="38" customWidth="1"/>
    <col min="258" max="258" width="4.5703125" style="38" customWidth="1"/>
    <col min="259" max="259" width="10" style="38" bestFit="1" customWidth="1"/>
    <col min="260" max="265" width="9.5703125" style="38" customWidth="1"/>
    <col min="266" max="267" width="11.42578125" style="38" customWidth="1"/>
    <col min="268" max="268" width="54.85546875" style="38" customWidth="1"/>
    <col min="269" max="269" width="20.28515625" style="38" customWidth="1"/>
    <col min="270" max="270" width="13.85546875" style="38" customWidth="1"/>
    <col min="271" max="271" width="15.85546875" style="38" customWidth="1"/>
    <col min="272" max="272" width="5.42578125" style="38" bestFit="1" customWidth="1"/>
    <col min="273" max="273" width="6.28515625" style="38" customWidth="1"/>
    <col min="274" max="513" width="11.42578125" style="38" customWidth="1"/>
    <col min="514" max="514" width="4.5703125" style="38" customWidth="1"/>
    <col min="515" max="515" width="10" style="38" bestFit="1" customWidth="1"/>
    <col min="516" max="521" width="9.5703125" style="38" customWidth="1"/>
    <col min="522" max="523" width="11.42578125" style="38" customWidth="1"/>
    <col min="524" max="524" width="54.85546875" style="38" customWidth="1"/>
    <col min="525" max="525" width="20.28515625" style="38" customWidth="1"/>
    <col min="526" max="526" width="13.85546875" style="38" customWidth="1"/>
    <col min="527" max="527" width="15.85546875" style="38" customWidth="1"/>
    <col min="528" max="528" width="5.42578125" style="38" bestFit="1" customWidth="1"/>
    <col min="529" max="529" width="6.28515625" style="38" customWidth="1"/>
    <col min="530" max="769" width="11.42578125" style="38" customWidth="1"/>
    <col min="770" max="770" width="4.5703125" style="38" customWidth="1"/>
    <col min="771" max="771" width="10" style="38" bestFit="1" customWidth="1"/>
    <col min="772" max="777" width="9.5703125" style="38" customWidth="1"/>
    <col min="778" max="779" width="11.42578125" style="38" customWidth="1"/>
    <col min="780" max="780" width="54.85546875" style="38" customWidth="1"/>
    <col min="781" max="781" width="20.28515625" style="38" customWidth="1"/>
    <col min="782" max="782" width="13.85546875" style="38" customWidth="1"/>
    <col min="783" max="783" width="15.85546875" style="38" customWidth="1"/>
    <col min="784" max="784" width="5.42578125" style="38" bestFit="1" customWidth="1"/>
    <col min="785" max="785" width="6.28515625" style="38" customWidth="1"/>
    <col min="786" max="1025" width="11.42578125" style="38" customWidth="1"/>
    <col min="1026" max="1026" width="4.5703125" style="38" customWidth="1"/>
    <col min="1027" max="1027" width="10" style="38" bestFit="1" customWidth="1"/>
    <col min="1028" max="1033" width="9.5703125" style="38" customWidth="1"/>
    <col min="1034" max="1035" width="11.42578125" style="38" customWidth="1"/>
    <col min="1036" max="1036" width="54.85546875" style="38" customWidth="1"/>
    <col min="1037" max="1037" width="20.28515625" style="38" customWidth="1"/>
    <col min="1038" max="1038" width="13.85546875" style="38" customWidth="1"/>
    <col min="1039" max="1039" width="15.85546875" style="38" customWidth="1"/>
    <col min="1040" max="1040" width="5.42578125" style="38" bestFit="1" customWidth="1"/>
    <col min="1041" max="1041" width="6.28515625" style="38" customWidth="1"/>
    <col min="1042" max="1281" width="11.42578125" style="38" customWidth="1"/>
    <col min="1282" max="1282" width="4.5703125" style="38" customWidth="1"/>
    <col min="1283" max="1283" width="10" style="38" bestFit="1" customWidth="1"/>
    <col min="1284" max="1289" width="9.5703125" style="38" customWidth="1"/>
    <col min="1290" max="1291" width="11.42578125" style="38" customWidth="1"/>
    <col min="1292" max="1292" width="54.85546875" style="38" customWidth="1"/>
    <col min="1293" max="1293" width="20.28515625" style="38" customWidth="1"/>
    <col min="1294" max="1294" width="13.85546875" style="38" customWidth="1"/>
    <col min="1295" max="1295" width="15.85546875" style="38" customWidth="1"/>
    <col min="1296" max="1296" width="5.42578125" style="38" bestFit="1" customWidth="1"/>
    <col min="1297" max="1297" width="6.28515625" style="38" customWidth="1"/>
    <col min="1298" max="1537" width="11.42578125" style="38" customWidth="1"/>
    <col min="1538" max="1538" width="4.5703125" style="38" customWidth="1"/>
    <col min="1539" max="1539" width="10" style="38" bestFit="1" customWidth="1"/>
    <col min="1540" max="1545" width="9.5703125" style="38" customWidth="1"/>
    <col min="1546" max="1547" width="11.42578125" style="38" customWidth="1"/>
    <col min="1548" max="1548" width="54.85546875" style="38" customWidth="1"/>
    <col min="1549" max="1549" width="20.28515625" style="38" customWidth="1"/>
    <col min="1550" max="1550" width="13.85546875" style="38" customWidth="1"/>
    <col min="1551" max="1551" width="15.85546875" style="38" customWidth="1"/>
    <col min="1552" max="1552" width="5.42578125" style="38" bestFit="1" customWidth="1"/>
    <col min="1553" max="1553" width="6.28515625" style="38" customWidth="1"/>
    <col min="1554" max="1793" width="11.42578125" style="38" customWidth="1"/>
    <col min="1794" max="1794" width="4.5703125" style="38" customWidth="1"/>
    <col min="1795" max="1795" width="10" style="38" bestFit="1" customWidth="1"/>
    <col min="1796" max="1801" width="9.5703125" style="38" customWidth="1"/>
    <col min="1802" max="1803" width="11.42578125" style="38" customWidth="1"/>
    <col min="1804" max="1804" width="54.85546875" style="38" customWidth="1"/>
    <col min="1805" max="1805" width="20.28515625" style="38" customWidth="1"/>
    <col min="1806" max="1806" width="13.85546875" style="38" customWidth="1"/>
    <col min="1807" max="1807" width="15.85546875" style="38" customWidth="1"/>
    <col min="1808" max="1808" width="5.42578125" style="38" bestFit="1" customWidth="1"/>
    <col min="1809" max="1809" width="6.28515625" style="38" customWidth="1"/>
    <col min="1810" max="2049" width="11.42578125" style="38" customWidth="1"/>
    <col min="2050" max="2050" width="4.5703125" style="38" customWidth="1"/>
    <col min="2051" max="2051" width="10" style="38" bestFit="1" customWidth="1"/>
    <col min="2052" max="2057" width="9.5703125" style="38" customWidth="1"/>
    <col min="2058" max="2059" width="11.42578125" style="38" customWidth="1"/>
    <col min="2060" max="2060" width="54.85546875" style="38" customWidth="1"/>
    <col min="2061" max="2061" width="20.28515625" style="38" customWidth="1"/>
    <col min="2062" max="2062" width="13.85546875" style="38" customWidth="1"/>
    <col min="2063" max="2063" width="15.85546875" style="38" customWidth="1"/>
    <col min="2064" max="2064" width="5.42578125" style="38" bestFit="1" customWidth="1"/>
    <col min="2065" max="2065" width="6.28515625" style="38" customWidth="1"/>
    <col min="2066" max="2305" width="11.42578125" style="38" customWidth="1"/>
    <col min="2306" max="2306" width="4.5703125" style="38" customWidth="1"/>
    <col min="2307" max="2307" width="10" style="38" bestFit="1" customWidth="1"/>
    <col min="2308" max="2313" width="9.5703125" style="38" customWidth="1"/>
    <col min="2314" max="2315" width="11.42578125" style="38" customWidth="1"/>
    <col min="2316" max="2316" width="54.85546875" style="38" customWidth="1"/>
    <col min="2317" max="2317" width="20.28515625" style="38" customWidth="1"/>
    <col min="2318" max="2318" width="13.85546875" style="38" customWidth="1"/>
    <col min="2319" max="2319" width="15.85546875" style="38" customWidth="1"/>
    <col min="2320" max="2320" width="5.42578125" style="38" bestFit="1" customWidth="1"/>
    <col min="2321" max="2321" width="6.28515625" style="38" customWidth="1"/>
    <col min="2322" max="2561" width="11.42578125" style="38" customWidth="1"/>
    <col min="2562" max="2562" width="4.5703125" style="38" customWidth="1"/>
    <col min="2563" max="2563" width="10" style="38" bestFit="1" customWidth="1"/>
    <col min="2564" max="2569" width="9.5703125" style="38" customWidth="1"/>
    <col min="2570" max="2571" width="11.42578125" style="38" customWidth="1"/>
    <col min="2572" max="2572" width="54.85546875" style="38" customWidth="1"/>
    <col min="2573" max="2573" width="20.28515625" style="38" customWidth="1"/>
    <col min="2574" max="2574" width="13.85546875" style="38" customWidth="1"/>
    <col min="2575" max="2575" width="15.85546875" style="38" customWidth="1"/>
    <col min="2576" max="2576" width="5.42578125" style="38" bestFit="1" customWidth="1"/>
    <col min="2577" max="2577" width="6.28515625" style="38" customWidth="1"/>
    <col min="2578" max="2817" width="11.42578125" style="38" customWidth="1"/>
    <col min="2818" max="2818" width="4.5703125" style="38" customWidth="1"/>
    <col min="2819" max="2819" width="10" style="38" bestFit="1" customWidth="1"/>
    <col min="2820" max="2825" width="9.5703125" style="38" customWidth="1"/>
    <col min="2826" max="2827" width="11.42578125" style="38" customWidth="1"/>
    <col min="2828" max="2828" width="54.85546875" style="38" customWidth="1"/>
    <col min="2829" max="2829" width="20.28515625" style="38" customWidth="1"/>
    <col min="2830" max="2830" width="13.85546875" style="38" customWidth="1"/>
    <col min="2831" max="2831" width="15.85546875" style="38" customWidth="1"/>
    <col min="2832" max="2832" width="5.42578125" style="38" bestFit="1" customWidth="1"/>
    <col min="2833" max="2833" width="6.28515625" style="38" customWidth="1"/>
    <col min="2834" max="3073" width="11.42578125" style="38" customWidth="1"/>
    <col min="3074" max="3074" width="4.5703125" style="38" customWidth="1"/>
    <col min="3075" max="3075" width="10" style="38" bestFit="1" customWidth="1"/>
    <col min="3076" max="3081" width="9.5703125" style="38" customWidth="1"/>
    <col min="3082" max="3083" width="11.42578125" style="38" customWidth="1"/>
    <col min="3084" max="3084" width="54.85546875" style="38" customWidth="1"/>
    <col min="3085" max="3085" width="20.28515625" style="38" customWidth="1"/>
    <col min="3086" max="3086" width="13.85546875" style="38" customWidth="1"/>
    <col min="3087" max="3087" width="15.85546875" style="38" customWidth="1"/>
    <col min="3088" max="3088" width="5.42578125" style="38" bestFit="1" customWidth="1"/>
    <col min="3089" max="3089" width="6.28515625" style="38" customWidth="1"/>
    <col min="3090" max="3329" width="11.42578125" style="38" customWidth="1"/>
    <col min="3330" max="3330" width="4.5703125" style="38" customWidth="1"/>
    <col min="3331" max="3331" width="10" style="38" bestFit="1" customWidth="1"/>
    <col min="3332" max="3337" width="9.5703125" style="38" customWidth="1"/>
    <col min="3338" max="3339" width="11.42578125" style="38" customWidth="1"/>
    <col min="3340" max="3340" width="54.85546875" style="38" customWidth="1"/>
    <col min="3341" max="3341" width="20.28515625" style="38" customWidth="1"/>
    <col min="3342" max="3342" width="13.85546875" style="38" customWidth="1"/>
    <col min="3343" max="3343" width="15.85546875" style="38" customWidth="1"/>
    <col min="3344" max="3344" width="5.42578125" style="38" bestFit="1" customWidth="1"/>
    <col min="3345" max="3345" width="6.28515625" style="38" customWidth="1"/>
    <col min="3346" max="3585" width="11.42578125" style="38" customWidth="1"/>
    <col min="3586" max="3586" width="4.5703125" style="38" customWidth="1"/>
    <col min="3587" max="3587" width="10" style="38" bestFit="1" customWidth="1"/>
    <col min="3588" max="3593" width="9.5703125" style="38" customWidth="1"/>
    <col min="3594" max="3595" width="11.42578125" style="38" customWidth="1"/>
    <col min="3596" max="3596" width="54.85546875" style="38" customWidth="1"/>
    <col min="3597" max="3597" width="20.28515625" style="38" customWidth="1"/>
    <col min="3598" max="3598" width="13.85546875" style="38" customWidth="1"/>
    <col min="3599" max="3599" width="15.85546875" style="38" customWidth="1"/>
    <col min="3600" max="3600" width="5.42578125" style="38" bestFit="1" customWidth="1"/>
    <col min="3601" max="3601" width="6.28515625" style="38" customWidth="1"/>
    <col min="3602" max="3841" width="11.42578125" style="38" customWidth="1"/>
    <col min="3842" max="3842" width="4.5703125" style="38" customWidth="1"/>
    <col min="3843" max="3843" width="10" style="38" bestFit="1" customWidth="1"/>
    <col min="3844" max="3849" width="9.5703125" style="38" customWidth="1"/>
    <col min="3850" max="3851" width="11.42578125" style="38" customWidth="1"/>
    <col min="3852" max="3852" width="54.85546875" style="38" customWidth="1"/>
    <col min="3853" max="3853" width="20.28515625" style="38" customWidth="1"/>
    <col min="3854" max="3854" width="13.85546875" style="38" customWidth="1"/>
    <col min="3855" max="3855" width="15.85546875" style="38" customWidth="1"/>
    <col min="3856" max="3856" width="5.42578125" style="38" bestFit="1" customWidth="1"/>
    <col min="3857" max="3857" width="6.28515625" style="38" customWidth="1"/>
    <col min="3858" max="4097" width="11.42578125" style="38" customWidth="1"/>
    <col min="4098" max="4098" width="4.5703125" style="38" customWidth="1"/>
    <col min="4099" max="4099" width="10" style="38" bestFit="1" customWidth="1"/>
    <col min="4100" max="4105" width="9.5703125" style="38" customWidth="1"/>
    <col min="4106" max="4107" width="11.42578125" style="38" customWidth="1"/>
    <col min="4108" max="4108" width="54.85546875" style="38" customWidth="1"/>
    <col min="4109" max="4109" width="20.28515625" style="38" customWidth="1"/>
    <col min="4110" max="4110" width="13.85546875" style="38" customWidth="1"/>
    <col min="4111" max="4111" width="15.85546875" style="38" customWidth="1"/>
    <col min="4112" max="4112" width="5.42578125" style="38" bestFit="1" customWidth="1"/>
    <col min="4113" max="4113" width="6.28515625" style="38" customWidth="1"/>
    <col min="4114" max="4353" width="11.42578125" style="38" customWidth="1"/>
    <col min="4354" max="4354" width="4.5703125" style="38" customWidth="1"/>
    <col min="4355" max="4355" width="10" style="38" bestFit="1" customWidth="1"/>
    <col min="4356" max="4361" width="9.5703125" style="38" customWidth="1"/>
    <col min="4362" max="4363" width="11.42578125" style="38" customWidth="1"/>
    <col min="4364" max="4364" width="54.85546875" style="38" customWidth="1"/>
    <col min="4365" max="4365" width="20.28515625" style="38" customWidth="1"/>
    <col min="4366" max="4366" width="13.85546875" style="38" customWidth="1"/>
    <col min="4367" max="4367" width="15.85546875" style="38" customWidth="1"/>
    <col min="4368" max="4368" width="5.42578125" style="38" bestFit="1" customWidth="1"/>
    <col min="4369" max="4369" width="6.28515625" style="38" customWidth="1"/>
    <col min="4370" max="4609" width="11.42578125" style="38" customWidth="1"/>
    <col min="4610" max="4610" width="4.5703125" style="38" customWidth="1"/>
    <col min="4611" max="4611" width="10" style="38" bestFit="1" customWidth="1"/>
    <col min="4612" max="4617" width="9.5703125" style="38" customWidth="1"/>
    <col min="4618" max="4619" width="11.42578125" style="38" customWidth="1"/>
    <col min="4620" max="4620" width="54.85546875" style="38" customWidth="1"/>
    <col min="4621" max="4621" width="20.28515625" style="38" customWidth="1"/>
    <col min="4622" max="4622" width="13.85546875" style="38" customWidth="1"/>
    <col min="4623" max="4623" width="15.85546875" style="38" customWidth="1"/>
    <col min="4624" max="4624" width="5.42578125" style="38" bestFit="1" customWidth="1"/>
    <col min="4625" max="4625" width="6.28515625" style="38" customWidth="1"/>
    <col min="4626" max="4865" width="11.42578125" style="38" customWidth="1"/>
    <col min="4866" max="4866" width="4.5703125" style="38" customWidth="1"/>
    <col min="4867" max="4867" width="10" style="38" bestFit="1" customWidth="1"/>
    <col min="4868" max="4873" width="9.5703125" style="38" customWidth="1"/>
    <col min="4874" max="4875" width="11.42578125" style="38" customWidth="1"/>
    <col min="4876" max="4876" width="54.85546875" style="38" customWidth="1"/>
    <col min="4877" max="4877" width="20.28515625" style="38" customWidth="1"/>
    <col min="4878" max="4878" width="13.85546875" style="38" customWidth="1"/>
    <col min="4879" max="4879" width="15.85546875" style="38" customWidth="1"/>
    <col min="4880" max="4880" width="5.42578125" style="38" bestFit="1" customWidth="1"/>
    <col min="4881" max="4881" width="6.28515625" style="38" customWidth="1"/>
    <col min="4882" max="5121" width="11.42578125" style="38" customWidth="1"/>
    <col min="5122" max="5122" width="4.5703125" style="38" customWidth="1"/>
    <col min="5123" max="5123" width="10" style="38" bestFit="1" customWidth="1"/>
    <col min="5124" max="5129" width="9.5703125" style="38" customWidth="1"/>
    <col min="5130" max="5131" width="11.42578125" style="38" customWidth="1"/>
    <col min="5132" max="5132" width="54.85546875" style="38" customWidth="1"/>
    <col min="5133" max="5133" width="20.28515625" style="38" customWidth="1"/>
    <col min="5134" max="5134" width="13.85546875" style="38" customWidth="1"/>
    <col min="5135" max="5135" width="15.85546875" style="38" customWidth="1"/>
    <col min="5136" max="5136" width="5.42578125" style="38" bestFit="1" customWidth="1"/>
    <col min="5137" max="5137" width="6.28515625" style="38" customWidth="1"/>
    <col min="5138" max="5377" width="11.42578125" style="38" customWidth="1"/>
    <col min="5378" max="5378" width="4.5703125" style="38" customWidth="1"/>
    <col min="5379" max="5379" width="10" style="38" bestFit="1" customWidth="1"/>
    <col min="5380" max="5385" width="9.5703125" style="38" customWidth="1"/>
    <col min="5386" max="5387" width="11.42578125" style="38" customWidth="1"/>
    <col min="5388" max="5388" width="54.85546875" style="38" customWidth="1"/>
    <col min="5389" max="5389" width="20.28515625" style="38" customWidth="1"/>
    <col min="5390" max="5390" width="13.85546875" style="38" customWidth="1"/>
    <col min="5391" max="5391" width="15.85546875" style="38" customWidth="1"/>
    <col min="5392" max="5392" width="5.42578125" style="38" bestFit="1" customWidth="1"/>
    <col min="5393" max="5393" width="6.28515625" style="38" customWidth="1"/>
    <col min="5394" max="5633" width="11.42578125" style="38" customWidth="1"/>
    <col min="5634" max="5634" width="4.5703125" style="38" customWidth="1"/>
    <col min="5635" max="5635" width="10" style="38" bestFit="1" customWidth="1"/>
    <col min="5636" max="5641" width="9.5703125" style="38" customWidth="1"/>
    <col min="5642" max="5643" width="11.42578125" style="38" customWidth="1"/>
    <col min="5644" max="5644" width="54.85546875" style="38" customWidth="1"/>
    <col min="5645" max="5645" width="20.28515625" style="38" customWidth="1"/>
    <col min="5646" max="5646" width="13.85546875" style="38" customWidth="1"/>
    <col min="5647" max="5647" width="15.85546875" style="38" customWidth="1"/>
    <col min="5648" max="5648" width="5.42578125" style="38" bestFit="1" customWidth="1"/>
    <col min="5649" max="5649" width="6.28515625" style="38" customWidth="1"/>
    <col min="5650" max="5889" width="11.42578125" style="38" customWidth="1"/>
    <col min="5890" max="5890" width="4.5703125" style="38" customWidth="1"/>
    <col min="5891" max="5891" width="10" style="38" bestFit="1" customWidth="1"/>
    <col min="5892" max="5897" width="9.5703125" style="38" customWidth="1"/>
    <col min="5898" max="5899" width="11.42578125" style="38" customWidth="1"/>
    <col min="5900" max="5900" width="54.85546875" style="38" customWidth="1"/>
    <col min="5901" max="5901" width="20.28515625" style="38" customWidth="1"/>
    <col min="5902" max="5902" width="13.85546875" style="38" customWidth="1"/>
    <col min="5903" max="5903" width="15.85546875" style="38" customWidth="1"/>
    <col min="5904" max="5904" width="5.42578125" style="38" bestFit="1" customWidth="1"/>
    <col min="5905" max="5905" width="6.28515625" style="38" customWidth="1"/>
    <col min="5906" max="6145" width="11.42578125" style="38" customWidth="1"/>
    <col min="6146" max="6146" width="4.5703125" style="38" customWidth="1"/>
    <col min="6147" max="6147" width="10" style="38" bestFit="1" customWidth="1"/>
    <col min="6148" max="6153" width="9.5703125" style="38" customWidth="1"/>
    <col min="6154" max="6155" width="11.42578125" style="38" customWidth="1"/>
    <col min="6156" max="6156" width="54.85546875" style="38" customWidth="1"/>
    <col min="6157" max="6157" width="20.28515625" style="38" customWidth="1"/>
    <col min="6158" max="6158" width="13.85546875" style="38" customWidth="1"/>
    <col min="6159" max="6159" width="15.85546875" style="38" customWidth="1"/>
    <col min="6160" max="6160" width="5.42578125" style="38" bestFit="1" customWidth="1"/>
    <col min="6161" max="6161" width="6.28515625" style="38" customWidth="1"/>
    <col min="6162" max="6401" width="11.42578125" style="38" customWidth="1"/>
    <col min="6402" max="6402" width="4.5703125" style="38" customWidth="1"/>
    <col min="6403" max="6403" width="10" style="38" bestFit="1" customWidth="1"/>
    <col min="6404" max="6409" width="9.5703125" style="38" customWidth="1"/>
    <col min="6410" max="6411" width="11.42578125" style="38" customWidth="1"/>
    <col min="6412" max="6412" width="54.85546875" style="38" customWidth="1"/>
    <col min="6413" max="6413" width="20.28515625" style="38" customWidth="1"/>
    <col min="6414" max="6414" width="13.85546875" style="38" customWidth="1"/>
    <col min="6415" max="6415" width="15.85546875" style="38" customWidth="1"/>
    <col min="6416" max="6416" width="5.42578125" style="38" bestFit="1" customWidth="1"/>
    <col min="6417" max="6417" width="6.28515625" style="38" customWidth="1"/>
    <col min="6418" max="6657" width="11.42578125" style="38" customWidth="1"/>
    <col min="6658" max="6658" width="4.5703125" style="38" customWidth="1"/>
    <col min="6659" max="6659" width="10" style="38" bestFit="1" customWidth="1"/>
    <col min="6660" max="6665" width="9.5703125" style="38" customWidth="1"/>
    <col min="6666" max="6667" width="11.42578125" style="38" customWidth="1"/>
    <col min="6668" max="6668" width="54.85546875" style="38" customWidth="1"/>
    <col min="6669" max="6669" width="20.28515625" style="38" customWidth="1"/>
    <col min="6670" max="6670" width="13.85546875" style="38" customWidth="1"/>
    <col min="6671" max="6671" width="15.85546875" style="38" customWidth="1"/>
    <col min="6672" max="6672" width="5.42578125" style="38" bestFit="1" customWidth="1"/>
    <col min="6673" max="6673" width="6.28515625" style="38" customWidth="1"/>
    <col min="6674" max="6913" width="11.42578125" style="38" customWidth="1"/>
    <col min="6914" max="6914" width="4.5703125" style="38" customWidth="1"/>
    <col min="6915" max="6915" width="10" style="38" bestFit="1" customWidth="1"/>
    <col min="6916" max="6921" width="9.5703125" style="38" customWidth="1"/>
    <col min="6922" max="6923" width="11.42578125" style="38" customWidth="1"/>
    <col min="6924" max="6924" width="54.85546875" style="38" customWidth="1"/>
    <col min="6925" max="6925" width="20.28515625" style="38" customWidth="1"/>
    <col min="6926" max="6926" width="13.85546875" style="38" customWidth="1"/>
    <col min="6927" max="6927" width="15.85546875" style="38" customWidth="1"/>
    <col min="6928" max="6928" width="5.42578125" style="38" bestFit="1" customWidth="1"/>
    <col min="6929" max="6929" width="6.28515625" style="38" customWidth="1"/>
    <col min="6930" max="7169" width="11.42578125" style="38" customWidth="1"/>
    <col min="7170" max="7170" width="4.5703125" style="38" customWidth="1"/>
    <col min="7171" max="7171" width="10" style="38" bestFit="1" customWidth="1"/>
    <col min="7172" max="7177" width="9.5703125" style="38" customWidth="1"/>
    <col min="7178" max="7179" width="11.42578125" style="38" customWidth="1"/>
    <col min="7180" max="7180" width="54.85546875" style="38" customWidth="1"/>
    <col min="7181" max="7181" width="20.28515625" style="38" customWidth="1"/>
    <col min="7182" max="7182" width="13.85546875" style="38" customWidth="1"/>
    <col min="7183" max="7183" width="15.85546875" style="38" customWidth="1"/>
    <col min="7184" max="7184" width="5.42578125" style="38" bestFit="1" customWidth="1"/>
    <col min="7185" max="7185" width="6.28515625" style="38" customWidth="1"/>
    <col min="7186" max="7425" width="11.42578125" style="38" customWidth="1"/>
    <col min="7426" max="7426" width="4.5703125" style="38" customWidth="1"/>
    <col min="7427" max="7427" width="10" style="38" bestFit="1" customWidth="1"/>
    <col min="7428" max="7433" width="9.5703125" style="38" customWidth="1"/>
    <col min="7434" max="7435" width="11.42578125" style="38" customWidth="1"/>
    <col min="7436" max="7436" width="54.85546875" style="38" customWidth="1"/>
    <col min="7437" max="7437" width="20.28515625" style="38" customWidth="1"/>
    <col min="7438" max="7438" width="13.85546875" style="38" customWidth="1"/>
    <col min="7439" max="7439" width="15.85546875" style="38" customWidth="1"/>
    <col min="7440" max="7440" width="5.42578125" style="38" bestFit="1" customWidth="1"/>
    <col min="7441" max="7441" width="6.28515625" style="38" customWidth="1"/>
    <col min="7442" max="7681" width="11.42578125" style="38" customWidth="1"/>
    <col min="7682" max="7682" width="4.5703125" style="38" customWidth="1"/>
    <col min="7683" max="7683" width="10" style="38" bestFit="1" customWidth="1"/>
    <col min="7684" max="7689" width="9.5703125" style="38" customWidth="1"/>
    <col min="7690" max="7691" width="11.42578125" style="38" customWidth="1"/>
    <col min="7692" max="7692" width="54.85546875" style="38" customWidth="1"/>
    <col min="7693" max="7693" width="20.28515625" style="38" customWidth="1"/>
    <col min="7694" max="7694" width="13.85546875" style="38" customWidth="1"/>
    <col min="7695" max="7695" width="15.85546875" style="38" customWidth="1"/>
    <col min="7696" max="7696" width="5.42578125" style="38" bestFit="1" customWidth="1"/>
    <col min="7697" max="7697" width="6.28515625" style="38" customWidth="1"/>
    <col min="7698" max="7937" width="11.42578125" style="38" customWidth="1"/>
    <col min="7938" max="7938" width="4.5703125" style="38" customWidth="1"/>
    <col min="7939" max="7939" width="10" style="38" bestFit="1" customWidth="1"/>
    <col min="7940" max="7945" width="9.5703125" style="38" customWidth="1"/>
    <col min="7946" max="7947" width="11.42578125" style="38" customWidth="1"/>
    <col min="7948" max="7948" width="54.85546875" style="38" customWidth="1"/>
    <col min="7949" max="7949" width="20.28515625" style="38" customWidth="1"/>
    <col min="7950" max="7950" width="13.85546875" style="38" customWidth="1"/>
    <col min="7951" max="7951" width="15.85546875" style="38" customWidth="1"/>
    <col min="7952" max="7952" width="5.42578125" style="38" bestFit="1" customWidth="1"/>
    <col min="7953" max="7953" width="6.28515625" style="38" customWidth="1"/>
    <col min="7954" max="8193" width="11.42578125" style="38" customWidth="1"/>
    <col min="8194" max="8194" width="4.5703125" style="38" customWidth="1"/>
    <col min="8195" max="8195" width="10" style="38" bestFit="1" customWidth="1"/>
    <col min="8196" max="8201" width="9.5703125" style="38" customWidth="1"/>
    <col min="8202" max="8203" width="11.42578125" style="38" customWidth="1"/>
    <col min="8204" max="8204" width="54.85546875" style="38" customWidth="1"/>
    <col min="8205" max="8205" width="20.28515625" style="38" customWidth="1"/>
    <col min="8206" max="8206" width="13.85546875" style="38" customWidth="1"/>
    <col min="8207" max="8207" width="15.85546875" style="38" customWidth="1"/>
    <col min="8208" max="8208" width="5.42578125" style="38" bestFit="1" customWidth="1"/>
    <col min="8209" max="8209" width="6.28515625" style="38" customWidth="1"/>
    <col min="8210" max="8449" width="11.42578125" style="38" customWidth="1"/>
    <col min="8450" max="8450" width="4.5703125" style="38" customWidth="1"/>
    <col min="8451" max="8451" width="10" style="38" bestFit="1" customWidth="1"/>
    <col min="8452" max="8457" width="9.5703125" style="38" customWidth="1"/>
    <col min="8458" max="8459" width="11.42578125" style="38" customWidth="1"/>
    <col min="8460" max="8460" width="54.85546875" style="38" customWidth="1"/>
    <col min="8461" max="8461" width="20.28515625" style="38" customWidth="1"/>
    <col min="8462" max="8462" width="13.85546875" style="38" customWidth="1"/>
    <col min="8463" max="8463" width="15.85546875" style="38" customWidth="1"/>
    <col min="8464" max="8464" width="5.42578125" style="38" bestFit="1" customWidth="1"/>
    <col min="8465" max="8465" width="6.28515625" style="38" customWidth="1"/>
    <col min="8466" max="8705" width="11.42578125" style="38" customWidth="1"/>
    <col min="8706" max="8706" width="4.5703125" style="38" customWidth="1"/>
    <col min="8707" max="8707" width="10" style="38" bestFit="1" customWidth="1"/>
    <col min="8708" max="8713" width="9.5703125" style="38" customWidth="1"/>
    <col min="8714" max="8715" width="11.42578125" style="38" customWidth="1"/>
    <col min="8716" max="8716" width="54.85546875" style="38" customWidth="1"/>
    <col min="8717" max="8717" width="20.28515625" style="38" customWidth="1"/>
    <col min="8718" max="8718" width="13.85546875" style="38" customWidth="1"/>
    <col min="8719" max="8719" width="15.85546875" style="38" customWidth="1"/>
    <col min="8720" max="8720" width="5.42578125" style="38" bestFit="1" customWidth="1"/>
    <col min="8721" max="8721" width="6.28515625" style="38" customWidth="1"/>
    <col min="8722" max="8961" width="11.42578125" style="38" customWidth="1"/>
    <col min="8962" max="8962" width="4.5703125" style="38" customWidth="1"/>
    <col min="8963" max="8963" width="10" style="38" bestFit="1" customWidth="1"/>
    <col min="8964" max="8969" width="9.5703125" style="38" customWidth="1"/>
    <col min="8970" max="8971" width="11.42578125" style="38" customWidth="1"/>
    <col min="8972" max="8972" width="54.85546875" style="38" customWidth="1"/>
    <col min="8973" max="8973" width="20.28515625" style="38" customWidth="1"/>
    <col min="8974" max="8974" width="13.85546875" style="38" customWidth="1"/>
    <col min="8975" max="8975" width="15.85546875" style="38" customWidth="1"/>
    <col min="8976" max="8976" width="5.42578125" style="38" bestFit="1" customWidth="1"/>
    <col min="8977" max="8977" width="6.28515625" style="38" customWidth="1"/>
    <col min="8978" max="9217" width="11.42578125" style="38" customWidth="1"/>
    <col min="9218" max="9218" width="4.5703125" style="38" customWidth="1"/>
    <col min="9219" max="9219" width="10" style="38" bestFit="1" customWidth="1"/>
    <col min="9220" max="9225" width="9.5703125" style="38" customWidth="1"/>
    <col min="9226" max="9227" width="11.42578125" style="38" customWidth="1"/>
    <col min="9228" max="9228" width="54.85546875" style="38" customWidth="1"/>
    <col min="9229" max="9229" width="20.28515625" style="38" customWidth="1"/>
    <col min="9230" max="9230" width="13.85546875" style="38" customWidth="1"/>
    <col min="9231" max="9231" width="15.85546875" style="38" customWidth="1"/>
    <col min="9232" max="9232" width="5.42578125" style="38" bestFit="1" customWidth="1"/>
    <col min="9233" max="9233" width="6.28515625" style="38" customWidth="1"/>
    <col min="9234" max="9473" width="11.42578125" style="38" customWidth="1"/>
    <col min="9474" max="9474" width="4.5703125" style="38" customWidth="1"/>
    <col min="9475" max="9475" width="10" style="38" bestFit="1" customWidth="1"/>
    <col min="9476" max="9481" width="9.5703125" style="38" customWidth="1"/>
    <col min="9482" max="9483" width="11.42578125" style="38" customWidth="1"/>
    <col min="9484" max="9484" width="54.85546875" style="38" customWidth="1"/>
    <col min="9485" max="9485" width="20.28515625" style="38" customWidth="1"/>
    <col min="9486" max="9486" width="13.85546875" style="38" customWidth="1"/>
    <col min="9487" max="9487" width="15.85546875" style="38" customWidth="1"/>
    <col min="9488" max="9488" width="5.42578125" style="38" bestFit="1" customWidth="1"/>
    <col min="9489" max="9489" width="6.28515625" style="38" customWidth="1"/>
    <col min="9490" max="9729" width="11.42578125" style="38" customWidth="1"/>
    <col min="9730" max="9730" width="4.5703125" style="38" customWidth="1"/>
    <col min="9731" max="9731" width="10" style="38" bestFit="1" customWidth="1"/>
    <col min="9732" max="9737" width="9.5703125" style="38" customWidth="1"/>
    <col min="9738" max="9739" width="11.42578125" style="38" customWidth="1"/>
    <col min="9740" max="9740" width="54.85546875" style="38" customWidth="1"/>
    <col min="9741" max="9741" width="20.28515625" style="38" customWidth="1"/>
    <col min="9742" max="9742" width="13.85546875" style="38" customWidth="1"/>
    <col min="9743" max="9743" width="15.85546875" style="38" customWidth="1"/>
    <col min="9744" max="9744" width="5.42578125" style="38" bestFit="1" customWidth="1"/>
    <col min="9745" max="9745" width="6.28515625" style="38" customWidth="1"/>
    <col min="9746" max="9985" width="11.42578125" style="38" customWidth="1"/>
    <col min="9986" max="9986" width="4.5703125" style="38" customWidth="1"/>
    <col min="9987" max="9987" width="10" style="38" bestFit="1" customWidth="1"/>
    <col min="9988" max="9993" width="9.5703125" style="38" customWidth="1"/>
    <col min="9994" max="9995" width="11.42578125" style="38" customWidth="1"/>
    <col min="9996" max="9996" width="54.85546875" style="38" customWidth="1"/>
    <col min="9997" max="9997" width="20.28515625" style="38" customWidth="1"/>
    <col min="9998" max="9998" width="13.85546875" style="38" customWidth="1"/>
    <col min="9999" max="9999" width="15.85546875" style="38" customWidth="1"/>
    <col min="10000" max="10000" width="5.42578125" style="38" bestFit="1" customWidth="1"/>
    <col min="10001" max="10001" width="6.28515625" style="38" customWidth="1"/>
    <col min="10002" max="10241" width="11.42578125" style="38" customWidth="1"/>
    <col min="10242" max="10242" width="4.5703125" style="38" customWidth="1"/>
    <col min="10243" max="10243" width="10" style="38" bestFit="1" customWidth="1"/>
    <col min="10244" max="10249" width="9.5703125" style="38" customWidth="1"/>
    <col min="10250" max="10251" width="11.42578125" style="38" customWidth="1"/>
    <col min="10252" max="10252" width="54.85546875" style="38" customWidth="1"/>
    <col min="10253" max="10253" width="20.28515625" style="38" customWidth="1"/>
    <col min="10254" max="10254" width="13.85546875" style="38" customWidth="1"/>
    <col min="10255" max="10255" width="15.85546875" style="38" customWidth="1"/>
    <col min="10256" max="10256" width="5.42578125" style="38" bestFit="1" customWidth="1"/>
    <col min="10257" max="10257" width="6.28515625" style="38" customWidth="1"/>
    <col min="10258" max="10497" width="11.42578125" style="38" customWidth="1"/>
    <col min="10498" max="10498" width="4.5703125" style="38" customWidth="1"/>
    <col min="10499" max="10499" width="10" style="38" bestFit="1" customWidth="1"/>
    <col min="10500" max="10505" width="9.5703125" style="38" customWidth="1"/>
    <col min="10506" max="10507" width="11.42578125" style="38" customWidth="1"/>
    <col min="10508" max="10508" width="54.85546875" style="38" customWidth="1"/>
    <col min="10509" max="10509" width="20.28515625" style="38" customWidth="1"/>
    <col min="10510" max="10510" width="13.85546875" style="38" customWidth="1"/>
    <col min="10511" max="10511" width="15.85546875" style="38" customWidth="1"/>
    <col min="10512" max="10512" width="5.42578125" style="38" bestFit="1" customWidth="1"/>
    <col min="10513" max="10513" width="6.28515625" style="38" customWidth="1"/>
    <col min="10514" max="10753" width="11.42578125" style="38" customWidth="1"/>
    <col min="10754" max="10754" width="4.5703125" style="38" customWidth="1"/>
    <col min="10755" max="10755" width="10" style="38" bestFit="1" customWidth="1"/>
    <col min="10756" max="10761" width="9.5703125" style="38" customWidth="1"/>
    <col min="10762" max="10763" width="11.42578125" style="38" customWidth="1"/>
    <col min="10764" max="10764" width="54.85546875" style="38" customWidth="1"/>
    <col min="10765" max="10765" width="20.28515625" style="38" customWidth="1"/>
    <col min="10766" max="10766" width="13.85546875" style="38" customWidth="1"/>
    <col min="10767" max="10767" width="15.85546875" style="38" customWidth="1"/>
    <col min="10768" max="10768" width="5.42578125" style="38" bestFit="1" customWidth="1"/>
    <col min="10769" max="10769" width="6.28515625" style="38" customWidth="1"/>
    <col min="10770" max="11009" width="11.42578125" style="38" customWidth="1"/>
    <col min="11010" max="11010" width="4.5703125" style="38" customWidth="1"/>
    <col min="11011" max="11011" width="10" style="38" bestFit="1" customWidth="1"/>
    <col min="11012" max="11017" width="9.5703125" style="38" customWidth="1"/>
    <col min="11018" max="11019" width="11.42578125" style="38" customWidth="1"/>
    <col min="11020" max="11020" width="54.85546875" style="38" customWidth="1"/>
    <col min="11021" max="11021" width="20.28515625" style="38" customWidth="1"/>
    <col min="11022" max="11022" width="13.85546875" style="38" customWidth="1"/>
    <col min="11023" max="11023" width="15.85546875" style="38" customWidth="1"/>
    <col min="11024" max="11024" width="5.42578125" style="38" bestFit="1" customWidth="1"/>
    <col min="11025" max="11025" width="6.28515625" style="38" customWidth="1"/>
    <col min="11026" max="11265" width="11.42578125" style="38" customWidth="1"/>
    <col min="11266" max="11266" width="4.5703125" style="38" customWidth="1"/>
    <col min="11267" max="11267" width="10" style="38" bestFit="1" customWidth="1"/>
    <col min="11268" max="11273" width="9.5703125" style="38" customWidth="1"/>
    <col min="11274" max="11275" width="11.42578125" style="38" customWidth="1"/>
    <col min="11276" max="11276" width="54.85546875" style="38" customWidth="1"/>
    <col min="11277" max="11277" width="20.28515625" style="38" customWidth="1"/>
    <col min="11278" max="11278" width="13.85546875" style="38" customWidth="1"/>
    <col min="11279" max="11279" width="15.85546875" style="38" customWidth="1"/>
    <col min="11280" max="11280" width="5.42578125" style="38" bestFit="1" customWidth="1"/>
    <col min="11281" max="11281" width="6.28515625" style="38" customWidth="1"/>
    <col min="11282" max="11521" width="11.42578125" style="38" customWidth="1"/>
    <col min="11522" max="11522" width="4.5703125" style="38" customWidth="1"/>
    <col min="11523" max="11523" width="10" style="38" bestFit="1" customWidth="1"/>
    <col min="11524" max="11529" width="9.5703125" style="38" customWidth="1"/>
    <col min="11530" max="11531" width="11.42578125" style="38" customWidth="1"/>
    <col min="11532" max="11532" width="54.85546875" style="38" customWidth="1"/>
    <col min="11533" max="11533" width="20.28515625" style="38" customWidth="1"/>
    <col min="11534" max="11534" width="13.85546875" style="38" customWidth="1"/>
    <col min="11535" max="11535" width="15.85546875" style="38" customWidth="1"/>
    <col min="11536" max="11536" width="5.42578125" style="38" bestFit="1" customWidth="1"/>
    <col min="11537" max="11537" width="6.28515625" style="38" customWidth="1"/>
    <col min="11538" max="11777" width="11.42578125" style="38" customWidth="1"/>
    <col min="11778" max="11778" width="4.5703125" style="38" customWidth="1"/>
    <col min="11779" max="11779" width="10" style="38" bestFit="1" customWidth="1"/>
    <col min="11780" max="11785" width="9.5703125" style="38" customWidth="1"/>
    <col min="11786" max="11787" width="11.42578125" style="38" customWidth="1"/>
    <col min="11788" max="11788" width="54.85546875" style="38" customWidth="1"/>
    <col min="11789" max="11789" width="20.28515625" style="38" customWidth="1"/>
    <col min="11790" max="11790" width="13.85546875" style="38" customWidth="1"/>
    <col min="11791" max="11791" width="15.85546875" style="38" customWidth="1"/>
    <col min="11792" max="11792" width="5.42578125" style="38" bestFit="1" customWidth="1"/>
    <col min="11793" max="11793" width="6.28515625" style="38" customWidth="1"/>
    <col min="11794" max="12033" width="11.42578125" style="38" customWidth="1"/>
    <col min="12034" max="12034" width="4.5703125" style="38" customWidth="1"/>
    <col min="12035" max="12035" width="10" style="38" bestFit="1" customWidth="1"/>
    <col min="12036" max="12041" width="9.5703125" style="38" customWidth="1"/>
    <col min="12042" max="12043" width="11.42578125" style="38" customWidth="1"/>
    <col min="12044" max="12044" width="54.85546875" style="38" customWidth="1"/>
    <col min="12045" max="12045" width="20.28515625" style="38" customWidth="1"/>
    <col min="12046" max="12046" width="13.85546875" style="38" customWidth="1"/>
    <col min="12047" max="12047" width="15.85546875" style="38" customWidth="1"/>
    <col min="12048" max="12048" width="5.42578125" style="38" bestFit="1" customWidth="1"/>
    <col min="12049" max="12049" width="6.28515625" style="38" customWidth="1"/>
    <col min="12050" max="12289" width="11.42578125" style="38" customWidth="1"/>
    <col min="12290" max="12290" width="4.5703125" style="38" customWidth="1"/>
    <col min="12291" max="12291" width="10" style="38" bestFit="1" customWidth="1"/>
    <col min="12292" max="12297" width="9.5703125" style="38" customWidth="1"/>
    <col min="12298" max="12299" width="11.42578125" style="38" customWidth="1"/>
    <col min="12300" max="12300" width="54.85546875" style="38" customWidth="1"/>
    <col min="12301" max="12301" width="20.28515625" style="38" customWidth="1"/>
    <col min="12302" max="12302" width="13.85546875" style="38" customWidth="1"/>
    <col min="12303" max="12303" width="15.85546875" style="38" customWidth="1"/>
    <col min="12304" max="12304" width="5.42578125" style="38" bestFit="1" customWidth="1"/>
    <col min="12305" max="12305" width="6.28515625" style="38" customWidth="1"/>
    <col min="12306" max="12545" width="11.42578125" style="38" customWidth="1"/>
    <col min="12546" max="12546" width="4.5703125" style="38" customWidth="1"/>
    <col min="12547" max="12547" width="10" style="38" bestFit="1" customWidth="1"/>
    <col min="12548" max="12553" width="9.5703125" style="38" customWidth="1"/>
    <col min="12554" max="12555" width="11.42578125" style="38" customWidth="1"/>
    <col min="12556" max="12556" width="54.85546875" style="38" customWidth="1"/>
    <col min="12557" max="12557" width="20.28515625" style="38" customWidth="1"/>
    <col min="12558" max="12558" width="13.85546875" style="38" customWidth="1"/>
    <col min="12559" max="12559" width="15.85546875" style="38" customWidth="1"/>
    <col min="12560" max="12560" width="5.42578125" style="38" bestFit="1" customWidth="1"/>
    <col min="12561" max="12561" width="6.28515625" style="38" customWidth="1"/>
    <col min="12562" max="12801" width="11.42578125" style="38" customWidth="1"/>
    <col min="12802" max="12802" width="4.5703125" style="38" customWidth="1"/>
    <col min="12803" max="12803" width="10" style="38" bestFit="1" customWidth="1"/>
    <col min="12804" max="12809" width="9.5703125" style="38" customWidth="1"/>
    <col min="12810" max="12811" width="11.42578125" style="38" customWidth="1"/>
    <col min="12812" max="12812" width="54.85546875" style="38" customWidth="1"/>
    <col min="12813" max="12813" width="20.28515625" style="38" customWidth="1"/>
    <col min="12814" max="12814" width="13.85546875" style="38" customWidth="1"/>
    <col min="12815" max="12815" width="15.85546875" style="38" customWidth="1"/>
    <col min="12816" max="12816" width="5.42578125" style="38" bestFit="1" customWidth="1"/>
    <col min="12817" max="12817" width="6.28515625" style="38" customWidth="1"/>
    <col min="12818" max="13057" width="11.42578125" style="38" customWidth="1"/>
    <col min="13058" max="13058" width="4.5703125" style="38" customWidth="1"/>
    <col min="13059" max="13059" width="10" style="38" bestFit="1" customWidth="1"/>
    <col min="13060" max="13065" width="9.5703125" style="38" customWidth="1"/>
    <col min="13066" max="13067" width="11.42578125" style="38" customWidth="1"/>
    <col min="13068" max="13068" width="54.85546875" style="38" customWidth="1"/>
    <col min="13069" max="13069" width="20.28515625" style="38" customWidth="1"/>
    <col min="13070" max="13070" width="13.85546875" style="38" customWidth="1"/>
    <col min="13071" max="13071" width="15.85546875" style="38" customWidth="1"/>
    <col min="13072" max="13072" width="5.42578125" style="38" bestFit="1" customWidth="1"/>
    <col min="13073" max="13073" width="6.28515625" style="38" customWidth="1"/>
    <col min="13074" max="13313" width="11.42578125" style="38" customWidth="1"/>
    <col min="13314" max="13314" width="4.5703125" style="38" customWidth="1"/>
    <col min="13315" max="13315" width="10" style="38" bestFit="1" customWidth="1"/>
    <col min="13316" max="13321" width="9.5703125" style="38" customWidth="1"/>
    <col min="13322" max="13323" width="11.42578125" style="38" customWidth="1"/>
    <col min="13324" max="13324" width="54.85546875" style="38" customWidth="1"/>
    <col min="13325" max="13325" width="20.28515625" style="38" customWidth="1"/>
    <col min="13326" max="13326" width="13.85546875" style="38" customWidth="1"/>
    <col min="13327" max="13327" width="15.85546875" style="38" customWidth="1"/>
    <col min="13328" max="13328" width="5.42578125" style="38" bestFit="1" customWidth="1"/>
    <col min="13329" max="13329" width="6.28515625" style="38" customWidth="1"/>
    <col min="13330" max="13569" width="11.42578125" style="38" customWidth="1"/>
    <col min="13570" max="13570" width="4.5703125" style="38" customWidth="1"/>
    <col min="13571" max="13571" width="10" style="38" bestFit="1" customWidth="1"/>
    <col min="13572" max="13577" width="9.5703125" style="38" customWidth="1"/>
    <col min="13578" max="13579" width="11.42578125" style="38" customWidth="1"/>
    <col min="13580" max="13580" width="54.85546875" style="38" customWidth="1"/>
    <col min="13581" max="13581" width="20.28515625" style="38" customWidth="1"/>
    <col min="13582" max="13582" width="13.85546875" style="38" customWidth="1"/>
    <col min="13583" max="13583" width="15.85546875" style="38" customWidth="1"/>
    <col min="13584" max="13584" width="5.42578125" style="38" bestFit="1" customWidth="1"/>
    <col min="13585" max="13585" width="6.28515625" style="38" customWidth="1"/>
    <col min="13586" max="13825" width="11.42578125" style="38" customWidth="1"/>
    <col min="13826" max="13826" width="4.5703125" style="38" customWidth="1"/>
    <col min="13827" max="13827" width="10" style="38" bestFit="1" customWidth="1"/>
    <col min="13828" max="13833" width="9.5703125" style="38" customWidth="1"/>
    <col min="13834" max="13835" width="11.42578125" style="38" customWidth="1"/>
    <col min="13836" max="13836" width="54.85546875" style="38" customWidth="1"/>
    <col min="13837" max="13837" width="20.28515625" style="38" customWidth="1"/>
    <col min="13838" max="13838" width="13.85546875" style="38" customWidth="1"/>
    <col min="13839" max="13839" width="15.85546875" style="38" customWidth="1"/>
    <col min="13840" max="13840" width="5.42578125" style="38" bestFit="1" customWidth="1"/>
    <col min="13841" max="13841" width="6.28515625" style="38" customWidth="1"/>
    <col min="13842" max="14081" width="11.42578125" style="38" customWidth="1"/>
    <col min="14082" max="14082" width="4.5703125" style="38" customWidth="1"/>
    <col min="14083" max="14083" width="10" style="38" bestFit="1" customWidth="1"/>
    <col min="14084" max="14089" width="9.5703125" style="38" customWidth="1"/>
    <col min="14090" max="14091" width="11.42578125" style="38" customWidth="1"/>
    <col min="14092" max="14092" width="54.85546875" style="38" customWidth="1"/>
    <col min="14093" max="14093" width="20.28515625" style="38" customWidth="1"/>
    <col min="14094" max="14094" width="13.85546875" style="38" customWidth="1"/>
    <col min="14095" max="14095" width="15.85546875" style="38" customWidth="1"/>
    <col min="14096" max="14096" width="5.42578125" style="38" bestFit="1" customWidth="1"/>
    <col min="14097" max="14097" width="6.28515625" style="38" customWidth="1"/>
    <col min="14098" max="14337" width="11.42578125" style="38" customWidth="1"/>
    <col min="14338" max="14338" width="4.5703125" style="38" customWidth="1"/>
    <col min="14339" max="14339" width="10" style="38" bestFit="1" customWidth="1"/>
    <col min="14340" max="14345" width="9.5703125" style="38" customWidth="1"/>
    <col min="14346" max="14347" width="11.42578125" style="38" customWidth="1"/>
    <col min="14348" max="14348" width="54.85546875" style="38" customWidth="1"/>
    <col min="14349" max="14349" width="20.28515625" style="38" customWidth="1"/>
    <col min="14350" max="14350" width="13.85546875" style="38" customWidth="1"/>
    <col min="14351" max="14351" width="15.85546875" style="38" customWidth="1"/>
    <col min="14352" max="14352" width="5.42578125" style="38" bestFit="1" customWidth="1"/>
    <col min="14353" max="14353" width="6.28515625" style="38" customWidth="1"/>
    <col min="14354" max="14593" width="11.42578125" style="38" customWidth="1"/>
    <col min="14594" max="14594" width="4.5703125" style="38" customWidth="1"/>
    <col min="14595" max="14595" width="10" style="38" bestFit="1" customWidth="1"/>
    <col min="14596" max="14601" width="9.5703125" style="38" customWidth="1"/>
    <col min="14602" max="14603" width="11.42578125" style="38" customWidth="1"/>
    <col min="14604" max="14604" width="54.85546875" style="38" customWidth="1"/>
    <col min="14605" max="14605" width="20.28515625" style="38" customWidth="1"/>
    <col min="14606" max="14606" width="13.85546875" style="38" customWidth="1"/>
    <col min="14607" max="14607" width="15.85546875" style="38" customWidth="1"/>
    <col min="14608" max="14608" width="5.42578125" style="38" bestFit="1" customWidth="1"/>
    <col min="14609" max="14609" width="6.28515625" style="38" customWidth="1"/>
    <col min="14610" max="14849" width="11.42578125" style="38" customWidth="1"/>
    <col min="14850" max="14850" width="4.5703125" style="38" customWidth="1"/>
    <col min="14851" max="14851" width="10" style="38" bestFit="1" customWidth="1"/>
    <col min="14852" max="14857" width="9.5703125" style="38" customWidth="1"/>
    <col min="14858" max="14859" width="11.42578125" style="38" customWidth="1"/>
    <col min="14860" max="14860" width="54.85546875" style="38" customWidth="1"/>
    <col min="14861" max="14861" width="20.28515625" style="38" customWidth="1"/>
    <col min="14862" max="14862" width="13.85546875" style="38" customWidth="1"/>
    <col min="14863" max="14863" width="15.85546875" style="38" customWidth="1"/>
    <col min="14864" max="14864" width="5.42578125" style="38" bestFit="1" customWidth="1"/>
    <col min="14865" max="14865" width="6.28515625" style="38" customWidth="1"/>
    <col min="14866" max="15105" width="11.42578125" style="38" customWidth="1"/>
    <col min="15106" max="15106" width="4.5703125" style="38" customWidth="1"/>
    <col min="15107" max="15107" width="10" style="38" bestFit="1" customWidth="1"/>
    <col min="15108" max="15113" width="9.5703125" style="38" customWidth="1"/>
    <col min="15114" max="15115" width="11.42578125" style="38" customWidth="1"/>
    <col min="15116" max="15116" width="54.85546875" style="38" customWidth="1"/>
    <col min="15117" max="15117" width="20.28515625" style="38" customWidth="1"/>
    <col min="15118" max="15118" width="13.85546875" style="38" customWidth="1"/>
    <col min="15119" max="15119" width="15.85546875" style="38" customWidth="1"/>
    <col min="15120" max="15120" width="5.42578125" style="38" bestFit="1" customWidth="1"/>
    <col min="15121" max="15121" width="6.28515625" style="38" customWidth="1"/>
    <col min="15122" max="15361" width="11.42578125" style="38" customWidth="1"/>
    <col min="15362" max="15362" width="4.5703125" style="38" customWidth="1"/>
    <col min="15363" max="15363" width="10" style="38" bestFit="1" customWidth="1"/>
    <col min="15364" max="15369" width="9.5703125" style="38" customWidth="1"/>
    <col min="15370" max="15371" width="11.42578125" style="38" customWidth="1"/>
    <col min="15372" max="15372" width="54.85546875" style="38" customWidth="1"/>
    <col min="15373" max="15373" width="20.28515625" style="38" customWidth="1"/>
    <col min="15374" max="15374" width="13.85546875" style="38" customWidth="1"/>
    <col min="15375" max="15375" width="15.85546875" style="38" customWidth="1"/>
    <col min="15376" max="15376" width="5.42578125" style="38" bestFit="1" customWidth="1"/>
    <col min="15377" max="15377" width="6.28515625" style="38" customWidth="1"/>
    <col min="15378" max="15617" width="11.42578125" style="38" customWidth="1"/>
    <col min="15618" max="15618" width="4.5703125" style="38" customWidth="1"/>
    <col min="15619" max="15619" width="10" style="38" bestFit="1" customWidth="1"/>
    <col min="15620" max="15625" width="9.5703125" style="38" customWidth="1"/>
    <col min="15626" max="15627" width="11.42578125" style="38" customWidth="1"/>
    <col min="15628" max="15628" width="54.85546875" style="38" customWidth="1"/>
    <col min="15629" max="15629" width="20.28515625" style="38" customWidth="1"/>
    <col min="15630" max="15630" width="13.85546875" style="38" customWidth="1"/>
    <col min="15631" max="15631" width="15.85546875" style="38" customWidth="1"/>
    <col min="15632" max="15632" width="5.42578125" style="38" bestFit="1" customWidth="1"/>
    <col min="15633" max="15633" width="6.28515625" style="38" customWidth="1"/>
    <col min="15634" max="15873" width="11.42578125" style="38" customWidth="1"/>
    <col min="15874" max="15874" width="4.5703125" style="38" customWidth="1"/>
    <col min="15875" max="15875" width="10" style="38" bestFit="1" customWidth="1"/>
    <col min="15876" max="15881" width="9.5703125" style="38" customWidth="1"/>
    <col min="15882" max="15883" width="11.42578125" style="38" customWidth="1"/>
    <col min="15884" max="15884" width="54.85546875" style="38" customWidth="1"/>
    <col min="15885" max="15885" width="20.28515625" style="38" customWidth="1"/>
    <col min="15886" max="15886" width="13.85546875" style="38" customWidth="1"/>
    <col min="15887" max="15887" width="15.85546875" style="38" customWidth="1"/>
    <col min="15888" max="15888" width="5.42578125" style="38" bestFit="1" customWidth="1"/>
    <col min="15889" max="15889" width="6.28515625" style="38" customWidth="1"/>
    <col min="15890" max="16129" width="11.42578125" style="38" customWidth="1"/>
    <col min="16130" max="16130" width="4.5703125" style="38" customWidth="1"/>
    <col min="16131" max="16131" width="10" style="38" bestFit="1" customWidth="1"/>
    <col min="16132" max="16137" width="9.5703125" style="38" customWidth="1"/>
    <col min="16138" max="16139" width="11.42578125" style="38" customWidth="1"/>
    <col min="16140" max="16140" width="54.85546875" style="38" customWidth="1"/>
    <col min="16141" max="16141" width="20.28515625" style="38" customWidth="1"/>
    <col min="16142" max="16142" width="13.85546875" style="38" customWidth="1"/>
    <col min="16143" max="16143" width="15.85546875" style="38" customWidth="1"/>
    <col min="16144" max="16144" width="5.42578125" style="38" bestFit="1" customWidth="1"/>
    <col min="16145" max="16145" width="6.28515625" style="38" customWidth="1"/>
    <col min="16146" max="16383" width="11.42578125" style="38" customWidth="1"/>
    <col min="16384" max="16384" width="11.42578125" style="38"/>
  </cols>
  <sheetData>
    <row r="1" spans="1:29" ht="15.75" thickBot="1" x14ac:dyDescent="0.3"/>
    <row r="2" spans="1:29" ht="15" customHeight="1" x14ac:dyDescent="0.25">
      <c r="B2" s="243" t="s">
        <v>42</v>
      </c>
      <c r="C2" s="244"/>
      <c r="D2" s="244"/>
      <c r="E2" s="244"/>
      <c r="F2" s="244"/>
      <c r="G2" s="244"/>
      <c r="H2" s="244"/>
      <c r="I2" s="244"/>
      <c r="J2" s="244"/>
      <c r="K2" s="244"/>
      <c r="L2" s="244"/>
      <c r="M2" s="244"/>
      <c r="N2" s="245"/>
    </row>
    <row r="3" spans="1:29" ht="15.75" thickBot="1" x14ac:dyDescent="0.3">
      <c r="B3" s="246"/>
      <c r="C3" s="247"/>
      <c r="D3" s="247"/>
      <c r="E3" s="247"/>
      <c r="F3" s="247"/>
      <c r="G3" s="247"/>
      <c r="H3" s="247"/>
      <c r="I3" s="247"/>
      <c r="J3" s="247"/>
      <c r="K3" s="247"/>
      <c r="L3" s="247"/>
      <c r="M3" s="247"/>
      <c r="N3" s="248"/>
    </row>
    <row r="4" spans="1:29" ht="15.75" x14ac:dyDescent="0.25">
      <c r="B4" s="249" t="s">
        <v>110</v>
      </c>
      <c r="C4" s="250"/>
      <c r="D4" s="250"/>
      <c r="E4" s="250"/>
      <c r="F4" s="250"/>
      <c r="G4" s="250"/>
      <c r="H4" s="250"/>
      <c r="I4" s="250"/>
      <c r="J4" s="251"/>
      <c r="K4" s="76"/>
      <c r="L4" s="250" t="str">
        <f>N16</f>
        <v>INICIAL</v>
      </c>
      <c r="M4" s="250"/>
      <c r="N4" s="251"/>
      <c r="R4"/>
      <c r="S4"/>
    </row>
    <row r="5" spans="1:29" ht="16.5" thickBot="1" x14ac:dyDescent="0.3">
      <c r="B5" s="252"/>
      <c r="C5" s="253"/>
      <c r="D5" s="253"/>
      <c r="E5" s="253"/>
      <c r="F5" s="253"/>
      <c r="G5" s="253"/>
      <c r="H5" s="253"/>
      <c r="I5" s="253"/>
      <c r="J5" s="254"/>
      <c r="K5" s="77"/>
      <c r="L5" s="253"/>
      <c r="M5" s="253"/>
      <c r="N5" s="254"/>
      <c r="R5"/>
      <c r="S5"/>
    </row>
    <row r="6" spans="1:29" ht="15.75" customHeight="1" thickBot="1" x14ac:dyDescent="0.3">
      <c r="R6"/>
      <c r="S6"/>
    </row>
    <row r="7" spans="1:29" ht="15.75" customHeight="1" thickBot="1" x14ac:dyDescent="0.3">
      <c r="A7" s="9"/>
      <c r="B7" s="236" t="s">
        <v>43</v>
      </c>
      <c r="C7" s="237"/>
      <c r="D7" s="237"/>
      <c r="E7" s="237"/>
      <c r="F7" s="237"/>
      <c r="G7" s="237"/>
      <c r="H7" s="237"/>
      <c r="I7" s="238"/>
      <c r="L7" s="255" t="s">
        <v>44</v>
      </c>
      <c r="M7" s="256"/>
      <c r="N7" s="257"/>
      <c r="O7" s="10"/>
      <c r="R7"/>
      <c r="S7"/>
      <c r="AC7" s="25"/>
    </row>
    <row r="8" spans="1:29" ht="28.5" customHeight="1" thickBot="1" x14ac:dyDescent="0.3">
      <c r="A8" s="78"/>
      <c r="B8" s="83" t="s">
        <v>45</v>
      </c>
      <c r="C8" s="84">
        <v>0</v>
      </c>
      <c r="D8" s="84">
        <v>0.25</v>
      </c>
      <c r="E8" s="84">
        <v>0.5</v>
      </c>
      <c r="F8" s="84">
        <v>0.75</v>
      </c>
      <c r="G8" s="84">
        <v>1</v>
      </c>
      <c r="H8" s="157" t="s">
        <v>8</v>
      </c>
      <c r="I8" s="85" t="s">
        <v>46</v>
      </c>
      <c r="J8" s="37"/>
      <c r="K8" s="37"/>
      <c r="L8" s="65" t="s">
        <v>107</v>
      </c>
      <c r="M8" s="66" t="s">
        <v>108</v>
      </c>
      <c r="N8" s="70" t="s">
        <v>97</v>
      </c>
      <c r="R8"/>
      <c r="S8"/>
      <c r="AC8" s="25"/>
    </row>
    <row r="9" spans="1:29" x14ac:dyDescent="0.25">
      <c r="A9" s="9"/>
      <c r="B9" s="27" t="s">
        <v>47</v>
      </c>
      <c r="C9" s="153">
        <f>COUNTA(REQUISITOS!B15:B16)</f>
        <v>0</v>
      </c>
      <c r="D9" s="153">
        <f>COUNTA(REQUISITOS!C15:C16)</f>
        <v>0</v>
      </c>
      <c r="E9" s="153">
        <f>COUNTA(REQUISITOS!D15:D16)</f>
        <v>0</v>
      </c>
      <c r="F9" s="153">
        <f>COUNTA(REQUISITOS!E15:E16)</f>
        <v>0</v>
      </c>
      <c r="G9" s="153">
        <f>COUNTA(REQUISITOS!F15:F16)</f>
        <v>0</v>
      </c>
      <c r="H9" s="153">
        <f>COUNTA(REQUISITOS!G15:G16)</f>
        <v>0</v>
      </c>
      <c r="I9" s="158">
        <f>SUM(C9:H9)</f>
        <v>0</v>
      </c>
      <c r="J9" s="10"/>
      <c r="K9" s="10"/>
      <c r="L9" s="64" t="str">
        <f>B7</f>
        <v>4. CONTEXTO DE LA ORGANIZACIÓN</v>
      </c>
      <c r="M9" s="67">
        <f>B15</f>
        <v>0</v>
      </c>
      <c r="N9" s="71" t="str">
        <f>IF(M9&lt;=24%,"INICIAL",IF(M9&lt;=49%,"NOVATO",IF(M9&lt;=74%,"COMPETENTE",IF(M9&lt;=99%,"AVANZADO","EXPERTO"))))</f>
        <v>INICIAL</v>
      </c>
    </row>
    <row r="10" spans="1:29" x14ac:dyDescent="0.25">
      <c r="A10" s="9"/>
      <c r="B10" s="26" t="s">
        <v>48</v>
      </c>
      <c r="C10" s="154">
        <f>COUNTA(REQUISITOS!B19:B21)</f>
        <v>0</v>
      </c>
      <c r="D10" s="154">
        <f>COUNTA(REQUISITOS!C19:C21)</f>
        <v>0</v>
      </c>
      <c r="E10" s="154">
        <f>COUNTA(REQUISITOS!D19:D21)</f>
        <v>0</v>
      </c>
      <c r="F10" s="154">
        <f>COUNTA(REQUISITOS!E19:E21)</f>
        <v>0</v>
      </c>
      <c r="G10" s="154">
        <f>COUNTA(REQUISITOS!F19:F21)</f>
        <v>0</v>
      </c>
      <c r="H10" s="154">
        <f>COUNTA(REQUISITOS!G19:G21)</f>
        <v>0</v>
      </c>
      <c r="I10" s="159">
        <f>SUM(C10:H10)</f>
        <v>0</v>
      </c>
      <c r="J10" s="10"/>
      <c r="K10" s="10"/>
      <c r="L10" s="14" t="str">
        <f>B18</f>
        <v>5. LIDERAZGO</v>
      </c>
      <c r="M10" s="68">
        <f>B25</f>
        <v>0</v>
      </c>
      <c r="N10" s="72" t="str">
        <f t="shared" ref="N10:N13" si="0">IF(M10&lt;=24%,"INICIAL",IF(M10&lt;=49%,"NOVATO",IF(M10&lt;=74%,"COMPETENTE",IF(M10&lt;=99%,"AVANZADO","EXPERTO"))))</f>
        <v>INICIAL</v>
      </c>
      <c r="AC10" s="39"/>
    </row>
    <row r="11" spans="1:29" x14ac:dyDescent="0.25">
      <c r="A11" s="9"/>
      <c r="B11" s="26" t="s">
        <v>49</v>
      </c>
      <c r="C11" s="154">
        <f>COUNTA(REQUISITOS!B24:B30)</f>
        <v>0</v>
      </c>
      <c r="D11" s="154">
        <f>COUNTA(REQUISITOS!C24:C30)</f>
        <v>0</v>
      </c>
      <c r="E11" s="154">
        <f>COUNTA(REQUISITOS!D24:D30)</f>
        <v>0</v>
      </c>
      <c r="F11" s="154">
        <f>COUNTA(REQUISITOS!E24:E30)</f>
        <v>0</v>
      </c>
      <c r="G11" s="154">
        <f>COUNTA(REQUISITOS!F24:F30)</f>
        <v>0</v>
      </c>
      <c r="H11" s="154">
        <f>COUNTA(REQUISITOS!G24:G30)</f>
        <v>0</v>
      </c>
      <c r="I11" s="159">
        <f>SUM(C11:H11)</f>
        <v>0</v>
      </c>
      <c r="J11" s="10"/>
      <c r="K11" s="10"/>
      <c r="L11" s="14" t="str">
        <f>B27</f>
        <v>6. PLANIFICACIÓN</v>
      </c>
      <c r="M11" s="68">
        <f>B33</f>
        <v>0</v>
      </c>
      <c r="N11" s="72" t="str">
        <f t="shared" si="0"/>
        <v>INICIAL</v>
      </c>
      <c r="AC11" s="39"/>
    </row>
    <row r="12" spans="1:29" ht="15.75" customHeight="1" thickBot="1" x14ac:dyDescent="0.3">
      <c r="A12" s="9"/>
      <c r="B12" s="28" t="s">
        <v>50</v>
      </c>
      <c r="C12" s="155">
        <f>COUNTA(REQUISITOS!B32:B32)</f>
        <v>0</v>
      </c>
      <c r="D12" s="155">
        <f>COUNTA(REQUISITOS!C32:C32)</f>
        <v>0</v>
      </c>
      <c r="E12" s="155">
        <f>COUNTA(REQUISITOS!D32:D32)</f>
        <v>0</v>
      </c>
      <c r="F12" s="155">
        <f>COUNTA(REQUISITOS!E32:E32)</f>
        <v>0</v>
      </c>
      <c r="G12" s="155">
        <f>COUNTA(REQUISITOS!F32:F32)</f>
        <v>0</v>
      </c>
      <c r="H12" s="155">
        <f>COUNTA(REQUISITOS!G32:G32)</f>
        <v>0</v>
      </c>
      <c r="I12" s="160">
        <f>SUM(C12:H12)</f>
        <v>0</v>
      </c>
      <c r="J12" s="10"/>
      <c r="K12" s="10"/>
      <c r="L12" s="14" t="str">
        <f>B35</f>
        <v>7. SOPORTE</v>
      </c>
      <c r="M12" s="68">
        <f>B44</f>
        <v>0</v>
      </c>
      <c r="N12" s="72" t="str">
        <f t="shared" si="0"/>
        <v>INICIAL</v>
      </c>
    </row>
    <row r="13" spans="1:29" ht="15.75" customHeight="1" thickBot="1" x14ac:dyDescent="0.3">
      <c r="A13" s="9"/>
      <c r="B13" s="89" t="s">
        <v>46</v>
      </c>
      <c r="C13" s="90">
        <f t="shared" ref="C13:H13" si="1">SUM(C9:C12)</f>
        <v>0</v>
      </c>
      <c r="D13" s="90">
        <f t="shared" si="1"/>
        <v>0</v>
      </c>
      <c r="E13" s="90">
        <f t="shared" si="1"/>
        <v>0</v>
      </c>
      <c r="F13" s="90">
        <f t="shared" si="1"/>
        <v>0</v>
      </c>
      <c r="G13" s="90">
        <f t="shared" si="1"/>
        <v>0</v>
      </c>
      <c r="H13" s="90">
        <f t="shared" si="1"/>
        <v>0</v>
      </c>
      <c r="I13" s="156">
        <f>SUM(I9:I12)-H13</f>
        <v>0</v>
      </c>
      <c r="J13" s="10"/>
      <c r="K13" s="10"/>
      <c r="L13" s="14" t="s">
        <v>66</v>
      </c>
      <c r="M13" s="68">
        <f>B52</f>
        <v>0</v>
      </c>
      <c r="N13" s="72" t="str">
        <f t="shared" si="0"/>
        <v>INICIAL</v>
      </c>
    </row>
    <row r="14" spans="1:29" ht="15.75" customHeight="1" thickBot="1" x14ac:dyDescent="0.3">
      <c r="A14" s="15"/>
      <c r="B14" s="270" t="s">
        <v>51</v>
      </c>
      <c r="C14" s="271"/>
      <c r="D14" s="271"/>
      <c r="E14" s="271"/>
      <c r="F14" s="271"/>
      <c r="G14" s="271"/>
      <c r="H14" s="271"/>
      <c r="I14" s="272"/>
      <c r="J14" s="10"/>
      <c r="K14" s="10"/>
      <c r="L14" s="14" t="str">
        <f>B54</f>
        <v>9. EVALUACIÓN DEL DESEMPEÑO</v>
      </c>
      <c r="M14" s="68">
        <f>B61</f>
        <v>0</v>
      </c>
      <c r="N14" s="72" t="str">
        <f>IF(M14&lt;=24%,"INICIAL",IF(M14&lt;=49%,"NOVATO",IF(M14&lt;=74%,"COMPETENTE",IF(M14&lt;=99%,"AVANZADO","EXPERTO"))))</f>
        <v>INICIAL</v>
      </c>
    </row>
    <row r="15" spans="1:29" ht="15.75" customHeight="1" thickBot="1" x14ac:dyDescent="0.3">
      <c r="A15" s="9"/>
      <c r="B15" s="234">
        <f>IF(I13=0,0,((C13*C8)+(D13*D8)+(E13*E8)+(F13*F8)+(G13*G8))/I13)</f>
        <v>0</v>
      </c>
      <c r="C15" s="235"/>
      <c r="D15" s="235"/>
      <c r="E15" s="235"/>
      <c r="F15" s="235"/>
      <c r="G15" s="235"/>
      <c r="H15" s="235"/>
      <c r="I15" s="205"/>
      <c r="L15" s="17" t="str">
        <f>B63</f>
        <v>10. MEJORA</v>
      </c>
      <c r="M15" s="69">
        <f>B69</f>
        <v>0</v>
      </c>
      <c r="N15" s="73" t="str">
        <f>IF(M15&lt;=24%,"INICIAL",IF(M15&lt;=49%,"NOVATO",IF(M15&lt;=74%,"COMPETENTE",IF(M15&lt;=99%,"AVANZADO","EXPERTO"))))</f>
        <v>INICIAL</v>
      </c>
    </row>
    <row r="16" spans="1:29" ht="15.75" customHeight="1" thickBot="1" x14ac:dyDescent="0.3">
      <c r="A16" s="9"/>
      <c r="L16" s="75" t="s">
        <v>109</v>
      </c>
      <c r="M16" s="74">
        <f>B76</f>
        <v>0</v>
      </c>
      <c r="N16" s="73" t="str">
        <f>IF(M16&lt;=24%,"INICIAL",IF(M16&lt;=49%,"NOVATO",IF(M16&lt;=74%,"COMPETENTE",IF(M16&lt;=99%,"AVANZADO","EXPERTO"))))</f>
        <v>INICIAL</v>
      </c>
    </row>
    <row r="17" spans="1:13" ht="15.75" customHeight="1" thickBot="1" x14ac:dyDescent="0.3">
      <c r="A17" s="9"/>
      <c r="B17" s="18"/>
      <c r="C17" s="19"/>
      <c r="D17" s="10"/>
      <c r="E17" s="10"/>
      <c r="F17" s="10"/>
      <c r="G17" s="10"/>
      <c r="H17" s="10"/>
      <c r="L17" s="75" t="s">
        <v>64</v>
      </c>
      <c r="M17" s="95">
        <f>100%-M16</f>
        <v>1</v>
      </c>
    </row>
    <row r="18" spans="1:13" ht="15.75" customHeight="1" thickBot="1" x14ac:dyDescent="0.3">
      <c r="A18" s="9"/>
      <c r="B18" s="236" t="s">
        <v>52</v>
      </c>
      <c r="C18" s="237"/>
      <c r="D18" s="237"/>
      <c r="E18" s="237"/>
      <c r="F18" s="237"/>
      <c r="G18" s="237"/>
      <c r="H18" s="237"/>
      <c r="I18" s="238"/>
    </row>
    <row r="19" spans="1:13" ht="15.75" customHeight="1" thickBot="1" x14ac:dyDescent="0.3">
      <c r="A19" s="78"/>
      <c r="B19" s="86" t="s">
        <v>45</v>
      </c>
      <c r="C19" s="86">
        <v>0</v>
      </c>
      <c r="D19" s="86">
        <v>0.25</v>
      </c>
      <c r="E19" s="86">
        <v>0.5</v>
      </c>
      <c r="F19" s="86">
        <v>0.75</v>
      </c>
      <c r="G19" s="86">
        <v>1</v>
      </c>
      <c r="H19" s="87" t="s">
        <v>8</v>
      </c>
      <c r="I19" s="138" t="s">
        <v>46</v>
      </c>
    </row>
    <row r="20" spans="1:13" x14ac:dyDescent="0.25">
      <c r="A20" s="20"/>
      <c r="B20" s="29" t="s">
        <v>53</v>
      </c>
      <c r="C20" s="79">
        <f>COUNTIF(REQUISITOS!B36:B44,"X")</f>
        <v>0</v>
      </c>
      <c r="D20" s="79">
        <f>COUNTIF(REQUISITOS!C36:C44,"X")</f>
        <v>0</v>
      </c>
      <c r="E20" s="79">
        <f>COUNTIF(REQUISITOS!D36:D44,"X")</f>
        <v>0</v>
      </c>
      <c r="F20" s="79">
        <f>COUNTIF(REQUISITOS!E36:E44,"X")</f>
        <v>0</v>
      </c>
      <c r="G20" s="79">
        <f>COUNTIF(REQUISITOS!F36:F44,"X")</f>
        <v>0</v>
      </c>
      <c r="H20" s="79">
        <f>COUNTIF(REQUISITOS!G36:G44,"X")</f>
        <v>0</v>
      </c>
      <c r="I20" s="158">
        <f>SUM(C20:H20)</f>
        <v>0</v>
      </c>
      <c r="J20" s="21"/>
      <c r="K20" s="21"/>
      <c r="L20"/>
      <c r="M20"/>
    </row>
    <row r="21" spans="1:13" x14ac:dyDescent="0.25">
      <c r="A21" s="9"/>
      <c r="B21" s="26" t="s">
        <v>54</v>
      </c>
      <c r="C21" s="80">
        <f>COUNTIF(REQUISITOS!B47:B55,"X")</f>
        <v>0</v>
      </c>
      <c r="D21" s="80">
        <f>COUNTIF(REQUISITOS!C47:C55,"X")</f>
        <v>0</v>
      </c>
      <c r="E21" s="80">
        <f>COUNTIF(REQUISITOS!D47:D55,"X")</f>
        <v>0</v>
      </c>
      <c r="F21" s="80">
        <f>COUNTIF(REQUISITOS!E47:E55,"X")</f>
        <v>0</v>
      </c>
      <c r="G21" s="80">
        <f>COUNTIF(REQUISITOS!F47:F55,"X")</f>
        <v>0</v>
      </c>
      <c r="H21" s="80">
        <f>COUNTIF(REQUISITOS!G47:G55,"X")</f>
        <v>0</v>
      </c>
      <c r="I21" s="159">
        <f>SUM(C21:H21)</f>
        <v>0</v>
      </c>
      <c r="L21"/>
      <c r="M21"/>
    </row>
    <row r="22" spans="1:13" ht="15.75" customHeight="1" thickBot="1" x14ac:dyDescent="0.3">
      <c r="A22" s="9"/>
      <c r="B22" s="26" t="s">
        <v>55</v>
      </c>
      <c r="C22" s="81">
        <f>COUNTIF(REQUISITOS!B58:B60,"X")</f>
        <v>0</v>
      </c>
      <c r="D22" s="81">
        <f>COUNTIF(REQUISITOS!C58:C60,"X")</f>
        <v>0</v>
      </c>
      <c r="E22" s="81">
        <f>COUNTIF(REQUISITOS!D58:D60,"X")</f>
        <v>0</v>
      </c>
      <c r="F22" s="81">
        <f>COUNTIF(REQUISITOS!E58:E60,"X")</f>
        <v>0</v>
      </c>
      <c r="G22" s="81">
        <f>COUNTIF(REQUISITOS!F58:F60,"X")</f>
        <v>0</v>
      </c>
      <c r="H22" s="81">
        <f>COUNTIF(REQUISITOS!G58:G60,"X")</f>
        <v>0</v>
      </c>
      <c r="I22" s="160">
        <f>SUM(C22:H22)</f>
        <v>0</v>
      </c>
      <c r="L22"/>
      <c r="M22"/>
    </row>
    <row r="23" spans="1:13" ht="15.75" customHeight="1" thickBot="1" x14ac:dyDescent="0.3">
      <c r="A23" s="9"/>
      <c r="B23" s="89" t="s">
        <v>46</v>
      </c>
      <c r="C23" s="161">
        <f t="shared" ref="C23:H23" si="2">SUM(C20:C22)</f>
        <v>0</v>
      </c>
      <c r="D23" s="162">
        <f t="shared" si="2"/>
        <v>0</v>
      </c>
      <c r="E23" s="162">
        <f t="shared" si="2"/>
        <v>0</v>
      </c>
      <c r="F23" s="162">
        <f t="shared" si="2"/>
        <v>0</v>
      </c>
      <c r="G23" s="162">
        <f t="shared" si="2"/>
        <v>0</v>
      </c>
      <c r="H23" s="93">
        <f t="shared" si="2"/>
        <v>0</v>
      </c>
      <c r="I23" s="93">
        <f>SUM(I20:I22)-H23</f>
        <v>0</v>
      </c>
      <c r="L23"/>
      <c r="M23"/>
    </row>
    <row r="24" spans="1:13" ht="15.75" customHeight="1" thickBot="1" x14ac:dyDescent="0.3">
      <c r="A24" s="9"/>
      <c r="B24" s="239" t="s">
        <v>51</v>
      </c>
      <c r="C24" s="240"/>
      <c r="D24" s="240"/>
      <c r="E24" s="240"/>
      <c r="F24" s="240"/>
      <c r="G24" s="240"/>
      <c r="H24" s="240"/>
      <c r="I24" s="241"/>
    </row>
    <row r="25" spans="1:13" ht="15.75" customHeight="1" thickBot="1" x14ac:dyDescent="0.3">
      <c r="A25" s="20"/>
      <c r="B25" s="234">
        <f>IF(I23=0,0,(C23*C19+D23*D19+E23*E19+F23*F19+G23*G19)/I23)</f>
        <v>0</v>
      </c>
      <c r="C25" s="235"/>
      <c r="D25" s="235"/>
      <c r="E25" s="235"/>
      <c r="F25" s="235"/>
      <c r="G25" s="235"/>
      <c r="H25" s="235"/>
      <c r="I25" s="205"/>
    </row>
    <row r="26" spans="1:13" ht="15.75" customHeight="1" thickBot="1" x14ac:dyDescent="0.3">
      <c r="A26" s="9"/>
      <c r="B26" s="22"/>
      <c r="C26" s="19"/>
      <c r="D26" s="10"/>
      <c r="E26" s="10"/>
      <c r="F26" s="10"/>
      <c r="G26" s="10"/>
      <c r="H26" s="10"/>
      <c r="M26" s="25"/>
    </row>
    <row r="27" spans="1:13" ht="15.75" customHeight="1" thickBot="1" x14ac:dyDescent="0.3">
      <c r="A27" s="9"/>
      <c r="B27" s="236" t="s">
        <v>56</v>
      </c>
      <c r="C27" s="237"/>
      <c r="D27" s="237"/>
      <c r="E27" s="237"/>
      <c r="F27" s="237"/>
      <c r="G27" s="237"/>
      <c r="H27" s="237"/>
      <c r="I27" s="238"/>
    </row>
    <row r="28" spans="1:13" ht="15.75" customHeight="1" thickBot="1" x14ac:dyDescent="0.3">
      <c r="A28" s="9"/>
      <c r="B28" s="86" t="s">
        <v>45</v>
      </c>
      <c r="C28" s="86">
        <v>0</v>
      </c>
      <c r="D28" s="86">
        <v>0.25</v>
      </c>
      <c r="E28" s="86">
        <v>0.5</v>
      </c>
      <c r="F28" s="86">
        <v>0.75</v>
      </c>
      <c r="G28" s="86">
        <v>1</v>
      </c>
      <c r="H28" s="87" t="s">
        <v>8</v>
      </c>
      <c r="I28" s="88" t="s">
        <v>46</v>
      </c>
    </row>
    <row r="29" spans="1:13" x14ac:dyDescent="0.25">
      <c r="A29" s="9"/>
      <c r="B29" s="27" t="s">
        <v>57</v>
      </c>
      <c r="C29" s="82">
        <f>COUNTIF(REQUISITOS!B65:B98,"X")</f>
        <v>0</v>
      </c>
      <c r="D29" s="82">
        <f>COUNTIF(REQUISITOS!C65:C98,"X")</f>
        <v>0</v>
      </c>
      <c r="E29" s="82">
        <f>COUNTIF(REQUISITOS!D65:D98,"X")</f>
        <v>0</v>
      </c>
      <c r="F29" s="82">
        <f>COUNTIF(REQUISITOS!E65:E98,"X")</f>
        <v>0</v>
      </c>
      <c r="G29" s="82">
        <f>COUNTIF(REQUISITOS!F65:F98,"X")</f>
        <v>0</v>
      </c>
      <c r="H29" s="82">
        <f>COUNTIF(REQUISITOS!G65:G98,"X")</f>
        <v>0</v>
      </c>
      <c r="I29" s="163">
        <f>SUM(C29:H29)</f>
        <v>0</v>
      </c>
    </row>
    <row r="30" spans="1:13" x14ac:dyDescent="0.25">
      <c r="A30" s="9"/>
      <c r="B30" s="26" t="s">
        <v>58</v>
      </c>
      <c r="C30" s="80">
        <f>COUNTIF(REQUISITOS!B102:B116,"X")</f>
        <v>0</v>
      </c>
      <c r="D30" s="80">
        <f>COUNTIF(REQUISITOS!C102:C116,"X")</f>
        <v>0</v>
      </c>
      <c r="E30" s="80">
        <f>COUNTIF(REQUISITOS!D102:D116,"X")</f>
        <v>0</v>
      </c>
      <c r="F30" s="80">
        <f>COUNTIF(REQUISITOS!E102:E116,"X")</f>
        <v>0</v>
      </c>
      <c r="G30" s="80">
        <f>COUNTIF(REQUISITOS!F102:F116,"X")</f>
        <v>0</v>
      </c>
      <c r="H30" s="80">
        <f>COUNTIF(REQUISITOS!G102:G116,"X")</f>
        <v>0</v>
      </c>
      <c r="I30" s="159">
        <f>SUM(C30:H30)</f>
        <v>0</v>
      </c>
    </row>
    <row r="31" spans="1:13" ht="15.75" customHeight="1" thickBot="1" x14ac:dyDescent="0.3">
      <c r="A31" s="9"/>
      <c r="B31" s="92" t="s">
        <v>46</v>
      </c>
      <c r="C31" s="90">
        <f t="shared" ref="C31:H31" si="3">SUM(C29:C30)</f>
        <v>0</v>
      </c>
      <c r="D31" s="90">
        <f t="shared" si="3"/>
        <v>0</v>
      </c>
      <c r="E31" s="90">
        <f t="shared" si="3"/>
        <v>0</v>
      </c>
      <c r="F31" s="90">
        <f t="shared" si="3"/>
        <v>0</v>
      </c>
      <c r="G31" s="90">
        <f t="shared" si="3"/>
        <v>0</v>
      </c>
      <c r="H31" s="90">
        <f t="shared" si="3"/>
        <v>0</v>
      </c>
      <c r="I31" s="91">
        <f>SUM(I29:I30)-H31</f>
        <v>0</v>
      </c>
    </row>
    <row r="32" spans="1:13" ht="15.75" customHeight="1" thickBot="1" x14ac:dyDescent="0.3">
      <c r="A32" s="9"/>
      <c r="B32" s="239" t="s">
        <v>51</v>
      </c>
      <c r="C32" s="240"/>
      <c r="D32" s="240"/>
      <c r="E32" s="240"/>
      <c r="F32" s="240"/>
      <c r="G32" s="240"/>
      <c r="H32" s="240"/>
      <c r="I32" s="241"/>
    </row>
    <row r="33" spans="1:14" ht="15.75" customHeight="1" thickBot="1" x14ac:dyDescent="0.3">
      <c r="A33" s="9"/>
      <c r="B33" s="234">
        <f>IF(I31=0,0,(C31*C28+D31*D28+E31*E28+F31*F28+G31*G28)/I31)</f>
        <v>0</v>
      </c>
      <c r="C33" s="235"/>
      <c r="D33" s="235"/>
      <c r="E33" s="235"/>
      <c r="F33" s="235"/>
      <c r="G33" s="235"/>
      <c r="H33" s="235"/>
      <c r="I33" s="205"/>
    </row>
    <row r="34" spans="1:14" ht="16.5" customHeight="1" thickBot="1" x14ac:dyDescent="0.3">
      <c r="A34" s="9"/>
      <c r="B34" s="23"/>
      <c r="C34" s="23"/>
    </row>
    <row r="35" spans="1:14" ht="15.75" customHeight="1" thickBot="1" x14ac:dyDescent="0.3">
      <c r="A35" s="9"/>
      <c r="B35" s="236" t="s">
        <v>59</v>
      </c>
      <c r="C35" s="237"/>
      <c r="D35" s="237"/>
      <c r="E35" s="237"/>
      <c r="F35" s="237"/>
      <c r="G35" s="237"/>
      <c r="H35" s="237"/>
      <c r="I35" s="238"/>
    </row>
    <row r="36" spans="1:14" ht="15.75" customHeight="1" thickBot="1" x14ac:dyDescent="0.3">
      <c r="A36" s="9"/>
      <c r="B36" s="86" t="s">
        <v>45</v>
      </c>
      <c r="C36" s="86">
        <v>0</v>
      </c>
      <c r="D36" s="86">
        <v>0.25</v>
      </c>
      <c r="E36" s="86">
        <v>0.5</v>
      </c>
      <c r="F36" s="86">
        <v>0.75</v>
      </c>
      <c r="G36" s="86">
        <v>1</v>
      </c>
      <c r="H36" s="87" t="s">
        <v>8</v>
      </c>
      <c r="I36" s="88" t="s">
        <v>46</v>
      </c>
    </row>
    <row r="37" spans="1:14" ht="15.75" customHeight="1" x14ac:dyDescent="0.25">
      <c r="A37" s="9"/>
      <c r="B37" s="27" t="s">
        <v>60</v>
      </c>
      <c r="C37" s="79">
        <f>COUNTIF(REQUISITOS!B119:B119,"X")</f>
        <v>0</v>
      </c>
      <c r="D37" s="79">
        <f>COUNTIF(REQUISITOS!C119:C119,"X")</f>
        <v>0</v>
      </c>
      <c r="E37" s="79">
        <f>COUNTIF(REQUISITOS!D119:D119,"X")</f>
        <v>0</v>
      </c>
      <c r="F37" s="79">
        <f>COUNTIF(REQUISITOS!E119:E119,"X")</f>
        <v>0</v>
      </c>
      <c r="G37" s="79">
        <f>COUNTIF(REQUISITOS!F119:F119,"X")</f>
        <v>0</v>
      </c>
      <c r="H37" s="79">
        <f>COUNTIF(REQUISITOS!G119:G119,"X")</f>
        <v>0</v>
      </c>
      <c r="I37" s="158">
        <f t="shared" ref="I37:I40" si="4">SUM(C37:H37)</f>
        <v>0</v>
      </c>
    </row>
    <row r="38" spans="1:14" x14ac:dyDescent="0.25">
      <c r="A38" s="9"/>
      <c r="B38" s="26" t="s">
        <v>61</v>
      </c>
      <c r="C38" s="80">
        <f>COUNTIF(REQUISITOS!B122:B126,"X")</f>
        <v>0</v>
      </c>
      <c r="D38" s="80">
        <f>COUNTIF(REQUISITOS!C122:C126,"X")</f>
        <v>0</v>
      </c>
      <c r="E38" s="80">
        <f>COUNTIF(REQUISITOS!D122:D126,"X")</f>
        <v>0</v>
      </c>
      <c r="F38" s="80">
        <f>COUNTIF(REQUISITOS!E122:E126,"X")</f>
        <v>0</v>
      </c>
      <c r="G38" s="80">
        <f>COUNTIF(REQUISITOS!F122:F126,"X")</f>
        <v>0</v>
      </c>
      <c r="H38" s="80">
        <f>COUNTIF(REQUISITOS!G122:G126,"X")</f>
        <v>0</v>
      </c>
      <c r="I38" s="159">
        <f t="shared" si="4"/>
        <v>0</v>
      </c>
      <c r="N38" s="35"/>
    </row>
    <row r="39" spans="1:14" x14ac:dyDescent="0.25">
      <c r="A39" s="9"/>
      <c r="B39" s="26" t="s">
        <v>62</v>
      </c>
      <c r="C39" s="80">
        <f>COUNTIF(REQUISITOS!B129:B132,"X")</f>
        <v>0</v>
      </c>
      <c r="D39" s="80">
        <f>COUNTIF(REQUISITOS!C129:C132,"X")</f>
        <v>0</v>
      </c>
      <c r="E39" s="80">
        <f>COUNTIF(REQUISITOS!D129:D132,"X")</f>
        <v>0</v>
      </c>
      <c r="F39" s="80">
        <f>COUNTIF(REQUISITOS!E129:E132,"X")</f>
        <v>0</v>
      </c>
      <c r="G39" s="80">
        <f>COUNTIF(REQUISITOS!F129:F132,"X")</f>
        <v>0</v>
      </c>
      <c r="H39" s="80">
        <f>COUNTIF(REQUISITOS!G129:G132,"X")</f>
        <v>0</v>
      </c>
      <c r="I39" s="159">
        <f t="shared" si="4"/>
        <v>0</v>
      </c>
    </row>
    <row r="40" spans="1:14" ht="15.75" customHeight="1" x14ac:dyDescent="0.25">
      <c r="A40" s="9"/>
      <c r="B40" s="26" t="s">
        <v>63</v>
      </c>
      <c r="C40" s="80">
        <f>COUNTIF(REQUISITOS!B136:B150,"X")</f>
        <v>0</v>
      </c>
      <c r="D40" s="80">
        <f>COUNTIF(REQUISITOS!C136:C150,"X")</f>
        <v>0</v>
      </c>
      <c r="E40" s="80">
        <f>COUNTIF(REQUISITOS!D136:D150,"X")</f>
        <v>0</v>
      </c>
      <c r="F40" s="80">
        <f>COUNTIF(REQUISITOS!E136:E150,"X")</f>
        <v>0</v>
      </c>
      <c r="G40" s="80">
        <f>COUNTIF(REQUISITOS!F136:F150,"X")</f>
        <v>0</v>
      </c>
      <c r="H40" s="80">
        <f>COUNTIF(REQUISITOS!G136:G150,"X")</f>
        <v>0</v>
      </c>
      <c r="I40" s="159">
        <f t="shared" si="4"/>
        <v>0</v>
      </c>
      <c r="N40" s="35"/>
    </row>
    <row r="41" spans="1:14" ht="15.75" thickBot="1" x14ac:dyDescent="0.3">
      <c r="A41" s="20"/>
      <c r="B41" s="28" t="s">
        <v>65</v>
      </c>
      <c r="C41" s="80">
        <f>COUNTIF(REQUISITOS!B154:B169,"X")</f>
        <v>0</v>
      </c>
      <c r="D41" s="80">
        <f>COUNTIF(REQUISITOS!C154:C169,"X")</f>
        <v>0</v>
      </c>
      <c r="E41" s="80">
        <f>COUNTIF(REQUISITOS!D154:D169,"X")</f>
        <v>0</v>
      </c>
      <c r="F41" s="80">
        <f>COUNTIF(REQUISITOS!E154:E169,"X")</f>
        <v>0</v>
      </c>
      <c r="G41" s="80">
        <f>COUNTIF(REQUISITOS!F154:F169,"X")</f>
        <v>0</v>
      </c>
      <c r="H41" s="80">
        <f>COUNTIF(REQUISITOS!G154:G169,"X")</f>
        <v>0</v>
      </c>
      <c r="I41" s="159">
        <f>SUM(C41:H41)</f>
        <v>0</v>
      </c>
    </row>
    <row r="42" spans="1:14" ht="15.75" customHeight="1" thickBot="1" x14ac:dyDescent="0.3">
      <c r="A42" s="9"/>
      <c r="B42" s="89" t="s">
        <v>46</v>
      </c>
      <c r="C42" s="90">
        <f t="shared" ref="C42:H42" si="5">SUM(C37:C41)</f>
        <v>0</v>
      </c>
      <c r="D42" s="91">
        <f t="shared" si="5"/>
        <v>0</v>
      </c>
      <c r="E42" s="91">
        <f t="shared" si="5"/>
        <v>0</v>
      </c>
      <c r="F42" s="91">
        <f t="shared" si="5"/>
        <v>0</v>
      </c>
      <c r="G42" s="91">
        <f t="shared" si="5"/>
        <v>0</v>
      </c>
      <c r="H42" s="91">
        <f t="shared" si="5"/>
        <v>0</v>
      </c>
      <c r="I42" s="156">
        <f>SUM(I37:I41)-H42</f>
        <v>0</v>
      </c>
      <c r="J42" s="10"/>
      <c r="K42" s="10"/>
    </row>
    <row r="43" spans="1:14" ht="15.75" customHeight="1" thickBot="1" x14ac:dyDescent="0.3">
      <c r="A43" s="9"/>
      <c r="B43" s="239" t="s">
        <v>51</v>
      </c>
      <c r="C43" s="240"/>
      <c r="D43" s="240"/>
      <c r="E43" s="240"/>
      <c r="F43" s="240"/>
      <c r="G43" s="240"/>
      <c r="H43" s="240"/>
      <c r="I43" s="241"/>
    </row>
    <row r="44" spans="1:14" ht="15.75" customHeight="1" thickBot="1" x14ac:dyDescent="0.3">
      <c r="A44" s="9"/>
      <c r="B44" s="234">
        <f>IF(I42=0,0,(C42*C36+D42*D36+E42*E36+F42*F36+G42*G36)/I42)</f>
        <v>0</v>
      </c>
      <c r="C44" s="235"/>
      <c r="D44" s="235"/>
      <c r="E44" s="235"/>
      <c r="F44" s="235"/>
      <c r="G44" s="235"/>
      <c r="H44" s="235"/>
      <c r="I44" s="205"/>
    </row>
    <row r="45" spans="1:14" ht="16.5" customHeight="1" thickBot="1" x14ac:dyDescent="0.3">
      <c r="A45" s="9"/>
      <c r="B45" s="23"/>
      <c r="C45" s="23"/>
    </row>
    <row r="46" spans="1:14" ht="15.75" customHeight="1" thickBot="1" x14ac:dyDescent="0.3">
      <c r="A46" s="9"/>
      <c r="B46" s="236" t="s">
        <v>66</v>
      </c>
      <c r="C46" s="237"/>
      <c r="D46" s="237"/>
      <c r="E46" s="237"/>
      <c r="F46" s="237"/>
      <c r="G46" s="237"/>
      <c r="H46" s="237"/>
      <c r="I46" s="238"/>
    </row>
    <row r="47" spans="1:14" ht="15.75" customHeight="1" thickBot="1" x14ac:dyDescent="0.3">
      <c r="A47" s="9"/>
      <c r="B47" s="86" t="s">
        <v>45</v>
      </c>
      <c r="C47" s="86">
        <v>0</v>
      </c>
      <c r="D47" s="86">
        <v>0.25</v>
      </c>
      <c r="E47" s="86">
        <v>0.5</v>
      </c>
      <c r="F47" s="86">
        <v>0.75</v>
      </c>
      <c r="G47" s="86">
        <v>1</v>
      </c>
      <c r="H47" s="87" t="s">
        <v>8</v>
      </c>
      <c r="I47" s="88" t="s">
        <v>46</v>
      </c>
    </row>
    <row r="48" spans="1:14" x14ac:dyDescent="0.25">
      <c r="B48" s="27" t="s">
        <v>67</v>
      </c>
      <c r="C48" s="153">
        <f>COUNTIF(REQUISITOS!B173:B182,"X")</f>
        <v>0</v>
      </c>
      <c r="D48" s="153">
        <f>COUNTIF(REQUISITOS!C173:C182,"X")</f>
        <v>0</v>
      </c>
      <c r="E48" s="153">
        <f>COUNTIF(REQUISITOS!D173:D182,"X")</f>
        <v>0</v>
      </c>
      <c r="F48" s="153">
        <f>COUNTIF(REQUISITOS!E173:E182,"X")</f>
        <v>0</v>
      </c>
      <c r="G48" s="153">
        <f>COUNTIF(REQUISITOS!F173:F182,"X")</f>
        <v>0</v>
      </c>
      <c r="H48" s="153">
        <f>COUNTIF(REQUISITOS!G173:G182,"X")</f>
        <v>0</v>
      </c>
      <c r="I48" s="164">
        <f t="shared" ref="I48:I49" si="6">SUM(C48:H48)</f>
        <v>0</v>
      </c>
    </row>
    <row r="49" spans="2:29" ht="15.75" thickBot="1" x14ac:dyDescent="0.3">
      <c r="B49" s="26" t="s">
        <v>68</v>
      </c>
      <c r="C49" s="154">
        <f>COUNTIF(REQUISITOS!B185:B191,"X")</f>
        <v>0</v>
      </c>
      <c r="D49" s="154">
        <f>COUNTIF(REQUISITOS!C185:C191,"X")</f>
        <v>0</v>
      </c>
      <c r="E49" s="154">
        <f>COUNTIF(REQUISITOS!D185:D191,"X")</f>
        <v>0</v>
      </c>
      <c r="F49" s="154">
        <f>COUNTIF(REQUISITOS!E185:E191,"X")</f>
        <v>0</v>
      </c>
      <c r="G49" s="154">
        <f>COUNTIF(REQUISITOS!F185:F191,"X")</f>
        <v>0</v>
      </c>
      <c r="H49" s="154">
        <f>COUNTIF(REQUISITOS!G185:G191,"X")</f>
        <v>0</v>
      </c>
      <c r="I49" s="165">
        <f t="shared" si="6"/>
        <v>0</v>
      </c>
    </row>
    <row r="50" spans="2:29" ht="15.75" customHeight="1" thickBot="1" x14ac:dyDescent="0.3">
      <c r="B50" s="89" t="s">
        <v>46</v>
      </c>
      <c r="C50" s="93">
        <f t="shared" ref="C50:H50" si="7">SUM(C48:C49)</f>
        <v>0</v>
      </c>
      <c r="D50" s="93">
        <f t="shared" si="7"/>
        <v>0</v>
      </c>
      <c r="E50" s="93">
        <f t="shared" si="7"/>
        <v>0</v>
      </c>
      <c r="F50" s="93">
        <f t="shared" si="7"/>
        <v>0</v>
      </c>
      <c r="G50" s="93">
        <f t="shared" si="7"/>
        <v>0</v>
      </c>
      <c r="H50" s="93">
        <f t="shared" si="7"/>
        <v>0</v>
      </c>
      <c r="I50" s="94">
        <f>SUM(I48:I49)-H50</f>
        <v>0</v>
      </c>
    </row>
    <row r="51" spans="2:29" ht="15.75" customHeight="1" thickBot="1" x14ac:dyDescent="0.3">
      <c r="B51" s="239" t="s">
        <v>51</v>
      </c>
      <c r="C51" s="240"/>
      <c r="D51" s="240"/>
      <c r="E51" s="240"/>
      <c r="F51" s="240"/>
      <c r="G51" s="240"/>
      <c r="H51" s="240"/>
      <c r="I51" s="241"/>
      <c r="J51" s="10"/>
      <c r="K51" s="10"/>
    </row>
    <row r="52" spans="2:29" ht="15.75" customHeight="1" thickBot="1" x14ac:dyDescent="0.3">
      <c r="B52" s="234">
        <f>IF(I50=0,0,(C50*C47+D50*D47+E50*E47+F50*F47+G50*G47)/I50)</f>
        <v>0</v>
      </c>
      <c r="C52" s="235"/>
      <c r="D52" s="235"/>
      <c r="E52" s="235"/>
      <c r="F52" s="235"/>
      <c r="G52" s="235"/>
      <c r="H52" s="235"/>
      <c r="I52" s="205"/>
    </row>
    <row r="53" spans="2:29" ht="15.75" customHeight="1" thickBot="1" x14ac:dyDescent="0.3"/>
    <row r="54" spans="2:29" ht="15.75" customHeight="1" thickBot="1" x14ac:dyDescent="0.3">
      <c r="B54" s="236" t="s">
        <v>69</v>
      </c>
      <c r="C54" s="242"/>
      <c r="D54" s="242"/>
      <c r="E54" s="242"/>
      <c r="F54" s="242"/>
      <c r="G54" s="242"/>
      <c r="H54" s="242"/>
      <c r="I54" s="238"/>
      <c r="J54" s="10"/>
      <c r="K54" s="10"/>
    </row>
    <row r="55" spans="2:29" ht="19.5" customHeight="1" thickBot="1" x14ac:dyDescent="0.35">
      <c r="B55" s="137" t="s">
        <v>45</v>
      </c>
      <c r="C55" s="140">
        <v>0</v>
      </c>
      <c r="D55" s="140">
        <v>0.25</v>
      </c>
      <c r="E55" s="140">
        <v>0.5</v>
      </c>
      <c r="F55" s="140">
        <v>0.75</v>
      </c>
      <c r="G55" s="140">
        <v>1</v>
      </c>
      <c r="H55" s="141" t="s">
        <v>8</v>
      </c>
      <c r="I55" s="138" t="s">
        <v>46</v>
      </c>
      <c r="L55" s="258" t="s">
        <v>111</v>
      </c>
      <c r="M55" s="259"/>
      <c r="N55" s="260"/>
      <c r="O55" s="97"/>
    </row>
    <row r="56" spans="2:29" ht="21" customHeight="1" x14ac:dyDescent="0.25">
      <c r="B56" s="27" t="s">
        <v>70</v>
      </c>
      <c r="C56" s="139">
        <f>COUNTIF(REQUISITOS!B196:B210,"X")</f>
        <v>0</v>
      </c>
      <c r="D56" s="139">
        <f>COUNTIF(REQUISITOS!C196:C210,"X")</f>
        <v>0</v>
      </c>
      <c r="E56" s="139">
        <f>COUNTIF(REQUISITOS!D196:D210,"X")</f>
        <v>0</v>
      </c>
      <c r="F56" s="139">
        <f>COUNTIF(REQUISITOS!E196:E210,"X")</f>
        <v>0</v>
      </c>
      <c r="G56" s="139">
        <f>COUNTIF(REQUISITOS!F196:F210,"X")</f>
        <v>0</v>
      </c>
      <c r="H56" s="139">
        <f>COUNTIF(REQUISITOS!G196:G210,"X")</f>
        <v>0</v>
      </c>
      <c r="I56" s="164">
        <f>SUM(C56:H56)</f>
        <v>0</v>
      </c>
      <c r="L56" s="261" t="str">
        <f>CONCATENATE(AC57,TEXT(M16,"0.00%"),AC58,TEXT(N16,""),AC59,TEXT(M17,"0.00%"),AC60)</f>
        <v>Según el diagnóstico realizado y análisis de la situación actual de la empresa conforme a los requisitos de la norma ISO 14001:2015 se ha obtenido los siguientes resultados: La tabla "TOTAL DE IMPLEMENTACIÓN SGA" muestra que se ha obtenido un porcentaje de implementación de  0.00% encontrándose en un nivel de implementación INICIAL con respecto a los "DEBES" que la norma contempla en su totalidad dentro de cada uno de sus requisitos, asi mismo la imagen "PORCENTAJE DE IMPLEMENTACIÓN DEL SGAS" muestra que existe una brecha de implementación de 100.00% para el cumplimiento del 100% de la norma.</v>
      </c>
      <c r="M56" s="262"/>
      <c r="N56" s="263"/>
      <c r="O56" s="96"/>
    </row>
    <row r="57" spans="2:29" ht="15" customHeight="1" x14ac:dyDescent="0.25">
      <c r="B57" s="26" t="s">
        <v>71</v>
      </c>
      <c r="C57" s="80">
        <f>COUNTIF(REQUISITOS!B214:B224,"X")</f>
        <v>0</v>
      </c>
      <c r="D57" s="80">
        <f>COUNTIF(REQUISITOS!C214:C224,"X")</f>
        <v>0</v>
      </c>
      <c r="E57" s="80">
        <f>COUNTIF(REQUISITOS!D214:D224,"X")</f>
        <v>0</v>
      </c>
      <c r="F57" s="80">
        <f>COUNTIF(REQUISITOS!E214:E224,"X")</f>
        <v>0</v>
      </c>
      <c r="G57" s="80">
        <f>COUNTIF(REQUISITOS!F214:F224,"X")</f>
        <v>0</v>
      </c>
      <c r="H57" s="80">
        <f>COUNTIF(REQUISITOS!G214:G224,"X")</f>
        <v>0</v>
      </c>
      <c r="I57" s="165">
        <f>SUM(C57:H57)</f>
        <v>0</v>
      </c>
      <c r="L57" s="264"/>
      <c r="M57" s="265"/>
      <c r="N57" s="266"/>
      <c r="O57" s="96"/>
      <c r="AC57" s="38" t="s">
        <v>342</v>
      </c>
    </row>
    <row r="58" spans="2:29" ht="15.75" customHeight="1" thickBot="1" x14ac:dyDescent="0.3">
      <c r="B58" s="26" t="s">
        <v>72</v>
      </c>
      <c r="C58" s="80">
        <f>COUNTIF(REQUISITOS!B227:B248,"X")</f>
        <v>0</v>
      </c>
      <c r="D58" s="80">
        <f>COUNTIF(REQUISITOS!C227:C248,"X")</f>
        <v>0</v>
      </c>
      <c r="E58" s="80">
        <f>COUNTIF(REQUISITOS!D227:D248,"X")</f>
        <v>0</v>
      </c>
      <c r="F58" s="80">
        <f>COUNTIF(REQUISITOS!E227:E248,"X")</f>
        <v>0</v>
      </c>
      <c r="G58" s="80">
        <f>COUNTIF(REQUISITOS!F227:F248,"X")</f>
        <v>0</v>
      </c>
      <c r="H58" s="80">
        <f>COUNTIF(REQUISITOS!G227:G248,"X")</f>
        <v>0</v>
      </c>
      <c r="I58" s="166">
        <f>SUM(C58:H58)</f>
        <v>0</v>
      </c>
      <c r="L58" s="264"/>
      <c r="M58" s="265"/>
      <c r="N58" s="266"/>
      <c r="O58" s="96"/>
      <c r="AC58" s="38" t="s">
        <v>112</v>
      </c>
    </row>
    <row r="59" spans="2:29" ht="15.75" customHeight="1" thickBot="1" x14ac:dyDescent="0.3">
      <c r="B59" s="89" t="s">
        <v>46</v>
      </c>
      <c r="C59" s="93">
        <f t="shared" ref="C59:H59" si="8">SUM(C56:C58)</f>
        <v>0</v>
      </c>
      <c r="D59" s="93">
        <f t="shared" si="8"/>
        <v>0</v>
      </c>
      <c r="E59" s="93">
        <f t="shared" si="8"/>
        <v>0</v>
      </c>
      <c r="F59" s="93">
        <f t="shared" si="8"/>
        <v>0</v>
      </c>
      <c r="G59" s="93">
        <f t="shared" si="8"/>
        <v>0</v>
      </c>
      <c r="H59" s="93">
        <f t="shared" si="8"/>
        <v>0</v>
      </c>
      <c r="I59" s="94">
        <f>SUM(I56:I58)-H59</f>
        <v>0</v>
      </c>
      <c r="L59" s="264"/>
      <c r="M59" s="265"/>
      <c r="N59" s="266"/>
      <c r="O59" s="96"/>
      <c r="AC59" s="38" t="s">
        <v>136</v>
      </c>
    </row>
    <row r="60" spans="2:29" ht="15.75" customHeight="1" thickBot="1" x14ac:dyDescent="0.3">
      <c r="B60" s="239" t="s">
        <v>51</v>
      </c>
      <c r="C60" s="240"/>
      <c r="D60" s="240"/>
      <c r="E60" s="240"/>
      <c r="F60" s="240"/>
      <c r="G60" s="240"/>
      <c r="H60" s="240"/>
      <c r="I60" s="241"/>
      <c r="L60" s="264"/>
      <c r="M60" s="265"/>
      <c r="N60" s="266"/>
      <c r="O60" s="96"/>
      <c r="AC60" s="38" t="s">
        <v>73</v>
      </c>
    </row>
    <row r="61" spans="2:29" ht="15.75" customHeight="1" thickBot="1" x14ac:dyDescent="0.3">
      <c r="B61" s="234">
        <f>IF(I59=0,0,(C59*C55+D59*D55+E59*E55+F59*F55+G59*G55)/I59)</f>
        <v>0</v>
      </c>
      <c r="C61" s="235"/>
      <c r="D61" s="235"/>
      <c r="E61" s="235"/>
      <c r="F61" s="235"/>
      <c r="G61" s="235"/>
      <c r="H61" s="235"/>
      <c r="I61" s="205"/>
      <c r="L61" s="264"/>
      <c r="M61" s="265"/>
      <c r="N61" s="266"/>
      <c r="O61" s="96"/>
    </row>
    <row r="62" spans="2:29" ht="15.75" customHeight="1" thickBot="1" x14ac:dyDescent="0.3">
      <c r="L62" s="264"/>
      <c r="M62" s="265"/>
      <c r="N62" s="266"/>
      <c r="O62" s="96"/>
    </row>
    <row r="63" spans="2:29" ht="15.75" customHeight="1" thickBot="1" x14ac:dyDescent="0.3">
      <c r="B63" s="236" t="s">
        <v>74</v>
      </c>
      <c r="C63" s="237"/>
      <c r="D63" s="237"/>
      <c r="E63" s="237"/>
      <c r="F63" s="237"/>
      <c r="G63" s="237"/>
      <c r="H63" s="237"/>
      <c r="I63" s="238"/>
      <c r="L63" s="264"/>
      <c r="M63" s="265"/>
      <c r="N63" s="266"/>
    </row>
    <row r="64" spans="2:29" ht="15.75" customHeight="1" thickBot="1" x14ac:dyDescent="0.3">
      <c r="B64" s="86" t="s">
        <v>45</v>
      </c>
      <c r="C64" s="86">
        <v>0</v>
      </c>
      <c r="D64" s="86">
        <v>0.25</v>
      </c>
      <c r="E64" s="167">
        <v>0.5</v>
      </c>
      <c r="F64" s="167">
        <v>0.75</v>
      </c>
      <c r="G64" s="167">
        <v>1</v>
      </c>
      <c r="H64" s="87" t="s">
        <v>8</v>
      </c>
      <c r="I64" s="138" t="s">
        <v>46</v>
      </c>
      <c r="L64" s="267"/>
      <c r="M64" s="268"/>
      <c r="N64" s="269"/>
      <c r="AC64" s="36"/>
    </row>
    <row r="65" spans="2:14" ht="15" customHeight="1" x14ac:dyDescent="0.25">
      <c r="B65" s="27" t="s">
        <v>75</v>
      </c>
      <c r="C65" s="153">
        <f>COUNTIF(REQUISITOS!B251:B251,"X")</f>
        <v>0</v>
      </c>
      <c r="D65" s="153">
        <f>COUNTIF(REQUISITOS!C251:C251,"X")</f>
        <v>0</v>
      </c>
      <c r="E65" s="153">
        <f>COUNTIF(REQUISITOS!D251:D251,"X")</f>
        <v>0</v>
      </c>
      <c r="F65" s="153">
        <f>COUNTIF(REQUISITOS!E251:E251,"X")</f>
        <v>0</v>
      </c>
      <c r="G65" s="153">
        <f>COUNTIF(REQUISITOS!F251:F251,"X")</f>
        <v>0</v>
      </c>
      <c r="H65" s="153">
        <f>COUNTIF(REQUISITOS!G251:G251,"X")</f>
        <v>0</v>
      </c>
      <c r="I65" s="164">
        <f>SUM(C65:H65)</f>
        <v>0</v>
      </c>
    </row>
    <row r="66" spans="2:14" ht="15" customHeight="1" thickBot="1" x14ac:dyDescent="0.3">
      <c r="B66" s="26" t="s">
        <v>76</v>
      </c>
      <c r="C66" s="154">
        <f>COUNTIF(REQUISITOS!B254:B265,"X")</f>
        <v>0</v>
      </c>
      <c r="D66" s="154">
        <f>COUNTIF(REQUISITOS!C254:C265,"X")</f>
        <v>0</v>
      </c>
      <c r="E66" s="154">
        <f>COUNTIF(REQUISITOS!D254:D265,"X")</f>
        <v>0</v>
      </c>
      <c r="F66" s="154">
        <f>COUNTIF(REQUISITOS!E254:E265,"X")</f>
        <v>0</v>
      </c>
      <c r="G66" s="154">
        <f>COUNTIF(REQUISITOS!F254:F265,"X")</f>
        <v>0</v>
      </c>
      <c r="H66" s="154">
        <f>COUNTIF(REQUISITOS!G254:G265,"X")</f>
        <v>0</v>
      </c>
      <c r="I66" s="165">
        <f>SUM(C66:H66)</f>
        <v>0</v>
      </c>
      <c r="L66" s="96"/>
      <c r="M66" s="96"/>
      <c r="N66" s="96"/>
    </row>
    <row r="67" spans="2:14" ht="15.75" customHeight="1" thickBot="1" x14ac:dyDescent="0.3">
      <c r="B67" s="89" t="s">
        <v>46</v>
      </c>
      <c r="C67" s="90">
        <f t="shared" ref="C67:H67" si="9">SUM(C65:C66)</f>
        <v>0</v>
      </c>
      <c r="D67" s="90">
        <f t="shared" si="9"/>
        <v>0</v>
      </c>
      <c r="E67" s="90">
        <f t="shared" si="9"/>
        <v>0</v>
      </c>
      <c r="F67" s="90">
        <f t="shared" si="9"/>
        <v>0</v>
      </c>
      <c r="G67" s="90">
        <f t="shared" si="9"/>
        <v>0</v>
      </c>
      <c r="H67" s="90">
        <f t="shared" si="9"/>
        <v>0</v>
      </c>
      <c r="I67" s="91">
        <f>SUM(I65:I66)-H67</f>
        <v>0</v>
      </c>
      <c r="L67" s="96"/>
      <c r="M67" s="96"/>
      <c r="N67" s="96"/>
    </row>
    <row r="68" spans="2:14" ht="15.75" customHeight="1" thickBot="1" x14ac:dyDescent="0.3">
      <c r="B68" s="239" t="s">
        <v>51</v>
      </c>
      <c r="C68" s="240"/>
      <c r="D68" s="240"/>
      <c r="E68" s="240"/>
      <c r="F68" s="240"/>
      <c r="G68" s="240"/>
      <c r="H68" s="240"/>
      <c r="I68" s="241"/>
      <c r="L68" s="96"/>
      <c r="M68" s="96"/>
      <c r="N68" s="96"/>
    </row>
    <row r="69" spans="2:14" ht="15.75" customHeight="1" thickBot="1" x14ac:dyDescent="0.3">
      <c r="B69" s="234">
        <f>IF(I67=0,0,(C67*C64+D67*D64+E67*E64+F67*F64+G67*G64)/I67)</f>
        <v>0</v>
      </c>
      <c r="C69" s="235"/>
      <c r="D69" s="235"/>
      <c r="E69" s="235"/>
      <c r="F69" s="235"/>
      <c r="G69" s="235"/>
      <c r="H69" s="235"/>
      <c r="I69" s="205"/>
      <c r="L69" s="96"/>
      <c r="M69" s="96"/>
      <c r="N69" s="96"/>
    </row>
    <row r="70" spans="2:14" ht="15" customHeight="1" x14ac:dyDescent="0.25">
      <c r="L70" s="96"/>
      <c r="M70" s="96"/>
      <c r="N70" s="96"/>
    </row>
    <row r="71" spans="2:14" ht="15.75" customHeight="1" thickBot="1" x14ac:dyDescent="0.3">
      <c r="L71" s="96"/>
      <c r="M71" s="96"/>
      <c r="N71" s="96"/>
    </row>
    <row r="72" spans="2:14" ht="15.75" customHeight="1" thickBot="1" x14ac:dyDescent="0.3">
      <c r="B72" s="236" t="s">
        <v>137</v>
      </c>
      <c r="C72" s="237"/>
      <c r="D72" s="237"/>
      <c r="E72" s="237"/>
      <c r="F72" s="237"/>
      <c r="G72" s="237"/>
      <c r="H72" s="237"/>
      <c r="I72" s="238"/>
    </row>
    <row r="73" spans="2:14" s="37" customFormat="1" ht="16.5" customHeight="1" thickBot="1" x14ac:dyDescent="0.3">
      <c r="B73" s="13" t="s">
        <v>77</v>
      </c>
      <c r="C73" s="24">
        <v>0</v>
      </c>
      <c r="D73" s="24">
        <v>0.25</v>
      </c>
      <c r="E73" s="24">
        <v>0.5</v>
      </c>
      <c r="F73" s="24">
        <v>0.75</v>
      </c>
      <c r="G73" s="24">
        <v>1</v>
      </c>
      <c r="H73" s="13" t="s">
        <v>8</v>
      </c>
      <c r="I73" s="13" t="s">
        <v>78</v>
      </c>
      <c r="M73" s="38"/>
    </row>
    <row r="74" spans="2:14" ht="15.75" customHeight="1" thickBot="1" x14ac:dyDescent="0.3">
      <c r="B74" s="170" t="s">
        <v>79</v>
      </c>
      <c r="C74" s="169">
        <f t="shared" ref="C74:H74" si="10">SUM(C13,C23,C31,C42,C50,C59,C67)</f>
        <v>0</v>
      </c>
      <c r="D74" s="168">
        <f t="shared" si="10"/>
        <v>0</v>
      </c>
      <c r="E74" s="168">
        <f t="shared" si="10"/>
        <v>0</v>
      </c>
      <c r="F74" s="169">
        <f t="shared" si="10"/>
        <v>0</v>
      </c>
      <c r="G74" s="168">
        <f t="shared" si="10"/>
        <v>0</v>
      </c>
      <c r="H74" s="168">
        <f t="shared" si="10"/>
        <v>0</v>
      </c>
      <c r="I74" s="168">
        <f>SUM(C74:G74)</f>
        <v>0</v>
      </c>
    </row>
    <row r="75" spans="2:14" ht="15.75" customHeight="1" thickBot="1" x14ac:dyDescent="0.3">
      <c r="B75" s="239" t="s">
        <v>51</v>
      </c>
      <c r="C75" s="240"/>
      <c r="D75" s="240"/>
      <c r="E75" s="240"/>
      <c r="F75" s="240"/>
      <c r="G75" s="240"/>
      <c r="H75" s="240"/>
      <c r="I75" s="241"/>
    </row>
    <row r="76" spans="2:14" ht="15.75" customHeight="1" thickBot="1" x14ac:dyDescent="0.3">
      <c r="B76" s="234">
        <f>IF(I74=0,0,(C74*C73+D74*D73+E74*E73+F74*F73+G74*G73)/I74)</f>
        <v>0</v>
      </c>
      <c r="C76" s="235"/>
      <c r="D76" s="235"/>
      <c r="E76" s="235"/>
      <c r="F76" s="235"/>
      <c r="G76" s="235"/>
      <c r="H76" s="235"/>
      <c r="I76" s="205"/>
      <c r="L76" s="37"/>
      <c r="M76" s="37"/>
    </row>
    <row r="77" spans="2:14" x14ac:dyDescent="0.25">
      <c r="D77" s="25"/>
      <c r="E77" s="30"/>
    </row>
  </sheetData>
  <mergeCells count="30">
    <mergeCell ref="L55:N55"/>
    <mergeCell ref="L56:N64"/>
    <mergeCell ref="B7:I7"/>
    <mergeCell ref="B15:I15"/>
    <mergeCell ref="B24:I24"/>
    <mergeCell ref="B25:I25"/>
    <mergeCell ref="B43:I43"/>
    <mergeCell ref="B27:I27"/>
    <mergeCell ref="B32:I32"/>
    <mergeCell ref="B33:I33"/>
    <mergeCell ref="B35:I35"/>
    <mergeCell ref="B44:I44"/>
    <mergeCell ref="B14:I14"/>
    <mergeCell ref="B2:N3"/>
    <mergeCell ref="B4:J5"/>
    <mergeCell ref="L4:N5"/>
    <mergeCell ref="L7:N7"/>
    <mergeCell ref="B18:I18"/>
    <mergeCell ref="B76:I76"/>
    <mergeCell ref="B46:I46"/>
    <mergeCell ref="B51:I51"/>
    <mergeCell ref="B52:I52"/>
    <mergeCell ref="B54:I54"/>
    <mergeCell ref="B60:I60"/>
    <mergeCell ref="B61:I61"/>
    <mergeCell ref="B63:I63"/>
    <mergeCell ref="B68:I68"/>
    <mergeCell ref="B69:I69"/>
    <mergeCell ref="B72:I72"/>
    <mergeCell ref="B75:I75"/>
  </mergeCells>
  <conditionalFormatting sqref="M9:M16">
    <cfRule type="cellIs" dxfId="4" priority="1" operator="between">
      <formula>0.5</formula>
      <formula>0.74</formula>
    </cfRule>
    <cfRule type="cellIs" dxfId="3" priority="2" operator="between">
      <formula>0.75</formula>
      <formula>1</formula>
    </cfRule>
    <cfRule type="cellIs" dxfId="2" priority="3" operator="between">
      <formula>0.5</formula>
      <formula>0.75</formula>
    </cfRule>
    <cfRule type="cellIs" dxfId="1" priority="4" operator="between">
      <formula>0.25</formula>
      <formula>0.5</formula>
    </cfRule>
    <cfRule type="cellIs" dxfId="0" priority="5" operator="between">
      <formula>0</formula>
      <formula>0.24</formula>
    </cfRule>
  </conditionalFormatting>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AH48"/>
  <sheetViews>
    <sheetView zoomScale="70" zoomScaleNormal="70" workbookViewId="0">
      <selection activeCell="D47" sqref="D47"/>
    </sheetView>
  </sheetViews>
  <sheetFormatPr defaultColWidth="11.42578125" defaultRowHeight="15" x14ac:dyDescent="0.25"/>
  <cols>
    <col min="1" max="1" width="11.42578125" style="38" customWidth="1"/>
    <col min="2" max="2" width="65.85546875" style="38" customWidth="1"/>
    <col min="3" max="8" width="14.42578125" style="38" customWidth="1"/>
    <col min="9" max="9" width="12.7109375" style="38" customWidth="1"/>
    <col min="10" max="10" width="3.85546875" style="38" customWidth="1"/>
    <col min="11" max="11" width="11.42578125" style="38" customWidth="1"/>
    <col min="12" max="16384" width="11.42578125" style="38"/>
  </cols>
  <sheetData>
    <row r="2" spans="2:34" ht="15.75" thickBot="1" x14ac:dyDescent="0.3"/>
    <row r="3" spans="2:34" ht="15" customHeight="1" x14ac:dyDescent="0.25">
      <c r="B3" s="243" t="s">
        <v>42</v>
      </c>
      <c r="C3" s="244"/>
      <c r="D3" s="244"/>
      <c r="E3" s="244"/>
      <c r="F3" s="244"/>
      <c r="G3" s="244"/>
      <c r="H3" s="244"/>
      <c r="I3" s="244"/>
      <c r="J3" s="244"/>
      <c r="K3" s="245"/>
      <c r="L3"/>
      <c r="M3"/>
      <c r="N3"/>
      <c r="O3"/>
      <c r="P3"/>
    </row>
    <row r="4" spans="2:34" ht="15.75" customHeight="1" thickBot="1" x14ac:dyDescent="0.3">
      <c r="B4" s="246"/>
      <c r="C4" s="247"/>
      <c r="D4" s="247"/>
      <c r="E4" s="247"/>
      <c r="F4" s="247"/>
      <c r="G4" s="247"/>
      <c r="H4" s="247"/>
      <c r="I4" s="247"/>
      <c r="J4" s="247"/>
      <c r="K4" s="248"/>
      <c r="L4"/>
      <c r="M4"/>
      <c r="N4"/>
      <c r="O4"/>
      <c r="P4"/>
    </row>
    <row r="5" spans="2:34" ht="15.75" customHeight="1" x14ac:dyDescent="0.25">
      <c r="B5" s="276" t="s">
        <v>113</v>
      </c>
      <c r="C5" s="277"/>
      <c r="D5" s="277"/>
      <c r="E5" s="277"/>
      <c r="F5" s="249" t="str">
        <f>IF(M9&lt;=24%,"INICIAL",IF(M9&lt;=49%,"NOVATO",IF(M9&lt;=74%,"COMPETENTE",IF(M9&lt;=99%,"AVANZADO","EXPERTO"))))</f>
        <v>INICIAL</v>
      </c>
      <c r="G5" s="250"/>
      <c r="H5" s="250"/>
      <c r="I5" s="250"/>
      <c r="J5" s="250"/>
      <c r="K5" s="251"/>
      <c r="L5"/>
      <c r="M5"/>
      <c r="N5"/>
      <c r="O5"/>
      <c r="P5"/>
    </row>
    <row r="6" spans="2:34" ht="15.75" customHeight="1" thickBot="1" x14ac:dyDescent="0.3">
      <c r="B6" s="252"/>
      <c r="C6" s="253"/>
      <c r="D6" s="253"/>
      <c r="E6" s="253"/>
      <c r="F6" s="252"/>
      <c r="G6" s="253"/>
      <c r="H6" s="253"/>
      <c r="I6" s="253"/>
      <c r="J6" s="253"/>
      <c r="K6" s="254"/>
      <c r="L6"/>
      <c r="M6"/>
      <c r="N6"/>
      <c r="O6"/>
      <c r="P6"/>
    </row>
    <row r="7" spans="2:34" x14ac:dyDescent="0.25">
      <c r="B7" s="37"/>
      <c r="C7" s="37"/>
      <c r="D7" s="37"/>
      <c r="E7" s="37"/>
      <c r="F7" s="37"/>
      <c r="G7" s="37"/>
      <c r="H7" s="37"/>
      <c r="I7" s="37"/>
      <c r="J7"/>
      <c r="K7"/>
      <c r="L7"/>
      <c r="M7"/>
      <c r="N7"/>
      <c r="O7"/>
      <c r="P7"/>
    </row>
    <row r="8" spans="2:34" ht="15.75" customHeight="1" thickBot="1" x14ac:dyDescent="0.3">
      <c r="I8" s="37"/>
      <c r="J8" s="37"/>
      <c r="K8" s="37"/>
      <c r="L8" s="37"/>
      <c r="M8" s="37"/>
    </row>
    <row r="9" spans="2:34" ht="15.75" customHeight="1" thickBot="1" x14ac:dyDescent="0.3">
      <c r="B9" s="236" t="s">
        <v>43</v>
      </c>
      <c r="C9" s="237"/>
      <c r="D9" s="237"/>
      <c r="E9" s="237"/>
      <c r="F9" s="237"/>
      <c r="G9" s="237"/>
      <c r="H9" s="237"/>
      <c r="I9" s="238"/>
    </row>
    <row r="10" spans="2:34" ht="36" customHeight="1" thickBot="1" x14ac:dyDescent="0.3">
      <c r="B10" s="98"/>
      <c r="C10" s="111" t="s">
        <v>80</v>
      </c>
      <c r="D10" s="111" t="s">
        <v>81</v>
      </c>
      <c r="E10" s="112" t="s">
        <v>82</v>
      </c>
      <c r="F10" s="112" t="s">
        <v>83</v>
      </c>
      <c r="G10" s="112" t="s">
        <v>84</v>
      </c>
      <c r="H10" s="113" t="s">
        <v>9</v>
      </c>
      <c r="I10" s="99"/>
      <c r="AA10"/>
      <c r="AB10"/>
      <c r="AC10"/>
      <c r="AD10"/>
      <c r="AE10"/>
      <c r="AF10"/>
      <c r="AG10"/>
      <c r="AH10"/>
    </row>
    <row r="11" spans="2:34" ht="15.75" customHeight="1" thickBot="1" x14ac:dyDescent="0.3">
      <c r="B11" s="11" t="s">
        <v>45</v>
      </c>
      <c r="C11" s="31">
        <v>0</v>
      </c>
      <c r="D11" s="31">
        <v>0.25</v>
      </c>
      <c r="E11" s="31">
        <v>0.5</v>
      </c>
      <c r="F11" s="31">
        <v>0.75</v>
      </c>
      <c r="G11" s="31">
        <v>1</v>
      </c>
      <c r="H11" s="32" t="s">
        <v>8</v>
      </c>
      <c r="I11" s="13" t="s">
        <v>46</v>
      </c>
      <c r="AA11"/>
      <c r="AB11"/>
      <c r="AC11"/>
      <c r="AD11"/>
      <c r="AE11"/>
      <c r="AF11"/>
      <c r="AG11"/>
      <c r="AH11"/>
    </row>
    <row r="12" spans="2:34" ht="19.5" customHeight="1" x14ac:dyDescent="0.25">
      <c r="B12" s="118" t="s">
        <v>114</v>
      </c>
      <c r="C12" s="105">
        <f>COUNTIF(REQUISITOS!$B$15:$B$16,"X")</f>
        <v>0</v>
      </c>
      <c r="D12" s="105">
        <f>COUNTIF(REQUISITOS!$B$15:$B$16,"X")</f>
        <v>0</v>
      </c>
      <c r="E12" s="105">
        <f>COUNTIF(REQUISITOS!$B$15:$B$16,"X")</f>
        <v>0</v>
      </c>
      <c r="F12" s="105">
        <f>COUNTIF(REQUISITOS!$B$15:$B$16,"X")</f>
        <v>0</v>
      </c>
      <c r="G12" s="105">
        <f>COUNTIF(REQUISITOS!$B$15:$B$16,"X")</f>
        <v>0</v>
      </c>
      <c r="H12" s="105">
        <f>COUNTIF(REQUISITOS!$B$15:$B$16,"X")</f>
        <v>0</v>
      </c>
      <c r="I12" s="114">
        <f>SUM(C12:G12)</f>
        <v>0</v>
      </c>
      <c r="AA12"/>
      <c r="AB12"/>
      <c r="AC12"/>
      <c r="AD12"/>
      <c r="AE12"/>
      <c r="AF12"/>
      <c r="AG12"/>
      <c r="AH12"/>
    </row>
    <row r="13" spans="2:34" ht="19.5" customHeight="1" x14ac:dyDescent="0.25">
      <c r="B13" s="119" t="s">
        <v>16</v>
      </c>
      <c r="C13" s="106">
        <f>COUNTIF(REQUISITOS!B19:B21,"X")</f>
        <v>0</v>
      </c>
      <c r="D13" s="106">
        <f>COUNTIF(REQUISITOS!C19:C21,"X")</f>
        <v>0</v>
      </c>
      <c r="E13" s="106">
        <f>COUNTIF(REQUISITOS!D19:D21,"X")</f>
        <v>0</v>
      </c>
      <c r="F13" s="106">
        <f>COUNTIF(REQUISITOS!E19:E21,"X")</f>
        <v>0</v>
      </c>
      <c r="G13" s="106">
        <f>COUNTIF(REQUISITOS!F19:F21,"X")</f>
        <v>0</v>
      </c>
      <c r="H13" s="106">
        <f>COUNTIF(REQUISITOS!G19:G21,"X")</f>
        <v>0</v>
      </c>
      <c r="I13" s="115">
        <f>SUM(C13:H13)</f>
        <v>0</v>
      </c>
      <c r="AA13"/>
      <c r="AB13"/>
      <c r="AC13"/>
      <c r="AD13"/>
      <c r="AE13"/>
      <c r="AF13"/>
      <c r="AG13"/>
      <c r="AH13"/>
    </row>
    <row r="14" spans="2:34" ht="19.5" customHeight="1" x14ac:dyDescent="0.25">
      <c r="B14" s="119" t="s">
        <v>145</v>
      </c>
      <c r="C14" s="106">
        <f>COUNTIF(REQUISITOS!B24:B30,"X")</f>
        <v>0</v>
      </c>
      <c r="D14" s="106">
        <f>COUNTIF(REQUISITOS!C24:C30,"X")</f>
        <v>0</v>
      </c>
      <c r="E14" s="106">
        <f>COUNTIF(REQUISITOS!D24:D30,"X")</f>
        <v>0</v>
      </c>
      <c r="F14" s="106">
        <f>COUNTIF(REQUISITOS!E24:E30,"X")</f>
        <v>0</v>
      </c>
      <c r="G14" s="106">
        <f>COUNTIF(REQUISITOS!F24:F30,"X")</f>
        <v>0</v>
      </c>
      <c r="H14" s="106">
        <f>COUNTIF(REQUISITOS!G24:G30,"X")</f>
        <v>0</v>
      </c>
      <c r="I14" s="115">
        <f>SUM(C14:H14)</f>
        <v>0</v>
      </c>
      <c r="AA14"/>
      <c r="AB14"/>
      <c r="AC14"/>
      <c r="AD14"/>
      <c r="AE14"/>
      <c r="AF14"/>
      <c r="AG14"/>
      <c r="AH14"/>
    </row>
    <row r="15" spans="2:34" ht="19.5" customHeight="1" thickBot="1" x14ac:dyDescent="0.3">
      <c r="B15" s="119" t="s">
        <v>153</v>
      </c>
      <c r="C15" s="106">
        <f>COUNTIF(REQUISITOS!B32:B32,"X")</f>
        <v>0</v>
      </c>
      <c r="D15" s="106">
        <f>COUNTIF(REQUISITOS!C32:C32,"X")</f>
        <v>0</v>
      </c>
      <c r="E15" s="106">
        <f>COUNTIF(REQUISITOS!D32:D32,"X")</f>
        <v>0</v>
      </c>
      <c r="F15" s="106">
        <f>COUNTIF(REQUISITOS!E32:E32,"X")</f>
        <v>0</v>
      </c>
      <c r="G15" s="106">
        <f>COUNTIF(REQUISITOS!F32:F32,"X")</f>
        <v>0</v>
      </c>
      <c r="H15" s="106">
        <f>COUNTIF(REQUISITOS!G32:G32,"X")</f>
        <v>0</v>
      </c>
      <c r="I15" s="115">
        <f>SUM(C15:H15)</f>
        <v>0</v>
      </c>
      <c r="AA15"/>
      <c r="AB15"/>
      <c r="AC15"/>
      <c r="AD15"/>
      <c r="AE15"/>
      <c r="AF15"/>
      <c r="AG15"/>
      <c r="AH15"/>
    </row>
    <row r="16" spans="2:34" ht="15.75" customHeight="1" thickBot="1" x14ac:dyDescent="0.3">
      <c r="B16" s="104" t="s">
        <v>46</v>
      </c>
      <c r="C16" s="102">
        <f t="shared" ref="C16:H16" si="0">SUM(C12:C15)</f>
        <v>0</v>
      </c>
      <c r="D16" s="102">
        <f t="shared" si="0"/>
        <v>0</v>
      </c>
      <c r="E16" s="102">
        <f t="shared" si="0"/>
        <v>0</v>
      </c>
      <c r="F16" s="102">
        <f t="shared" si="0"/>
        <v>0</v>
      </c>
      <c r="G16" s="102">
        <f t="shared" si="0"/>
        <v>0</v>
      </c>
      <c r="H16" s="102">
        <f t="shared" si="0"/>
        <v>0</v>
      </c>
      <c r="I16" s="103">
        <f>SUM(I12:I15)-H16</f>
        <v>0</v>
      </c>
      <c r="AA16"/>
      <c r="AB16"/>
      <c r="AC16"/>
      <c r="AD16"/>
      <c r="AE16"/>
      <c r="AF16"/>
      <c r="AG16"/>
      <c r="AH16"/>
    </row>
    <row r="17" spans="2:34" ht="15.75" customHeight="1" thickBot="1" x14ac:dyDescent="0.3">
      <c r="B17" s="239" t="s">
        <v>85</v>
      </c>
      <c r="C17" s="240"/>
      <c r="D17" s="240"/>
      <c r="E17" s="240"/>
      <c r="F17" s="240"/>
      <c r="G17" s="240"/>
      <c r="H17" s="240"/>
      <c r="I17" s="241"/>
      <c r="AA17"/>
      <c r="AB17"/>
      <c r="AC17"/>
      <c r="AD17"/>
      <c r="AE17"/>
      <c r="AF17"/>
      <c r="AG17"/>
      <c r="AH17"/>
    </row>
    <row r="18" spans="2:34" ht="15.75" customHeight="1" thickBot="1" x14ac:dyDescent="0.3">
      <c r="B18" s="234">
        <f>IF(I16=0,0,(C16*C11+D16*D11+E16*E11+F16*F11+G16*G11)/I16)</f>
        <v>0</v>
      </c>
      <c r="C18" s="235"/>
      <c r="D18" s="235"/>
      <c r="E18" s="235"/>
      <c r="F18" s="235"/>
      <c r="G18" s="235"/>
      <c r="H18" s="235"/>
      <c r="I18" s="205"/>
      <c r="AA18"/>
      <c r="AB18"/>
      <c r="AC18"/>
      <c r="AD18"/>
      <c r="AE18"/>
      <c r="AF18"/>
      <c r="AG18"/>
      <c r="AH18"/>
    </row>
    <row r="19" spans="2:34" x14ac:dyDescent="0.25">
      <c r="AA19"/>
      <c r="AB19"/>
      <c r="AC19"/>
      <c r="AD19"/>
      <c r="AE19"/>
      <c r="AF19"/>
      <c r="AG19"/>
      <c r="AH19"/>
    </row>
    <row r="20" spans="2:34" x14ac:dyDescent="0.25">
      <c r="C20" s="40"/>
      <c r="D20" s="40"/>
      <c r="E20" s="40"/>
      <c r="F20" s="40"/>
      <c r="G20" s="40"/>
      <c r="H20" s="40"/>
    </row>
    <row r="21" spans="2:34" ht="15" customHeight="1" x14ac:dyDescent="0.25">
      <c r="J21"/>
      <c r="K21"/>
      <c r="L21"/>
      <c r="M21"/>
      <c r="N21"/>
      <c r="O21"/>
      <c r="P21"/>
    </row>
    <row r="22" spans="2:34" ht="15.75" customHeight="1" x14ac:dyDescent="0.25">
      <c r="J22"/>
      <c r="K22"/>
      <c r="L22"/>
      <c r="M22"/>
      <c r="N22"/>
      <c r="O22"/>
      <c r="P22"/>
    </row>
    <row r="23" spans="2:34" ht="36" customHeight="1" x14ac:dyDescent="0.25">
      <c r="J23"/>
      <c r="K23"/>
      <c r="L23"/>
      <c r="M23"/>
      <c r="N23"/>
      <c r="O23"/>
      <c r="P23"/>
    </row>
    <row r="24" spans="2:34" ht="44.25" customHeight="1" x14ac:dyDescent="0.25">
      <c r="J24"/>
      <c r="K24"/>
      <c r="L24"/>
      <c r="M24"/>
      <c r="N24"/>
      <c r="O24"/>
      <c r="P24"/>
      <c r="R24" s="116"/>
      <c r="S24" s="116"/>
      <c r="T24" s="116"/>
    </row>
    <row r="25" spans="2:34" ht="15.75" customHeight="1" x14ac:dyDescent="0.25">
      <c r="J25"/>
      <c r="K25"/>
      <c r="L25"/>
      <c r="M25"/>
      <c r="N25"/>
      <c r="O25"/>
      <c r="P25"/>
      <c r="R25" s="116"/>
      <c r="S25" s="116"/>
      <c r="T25" s="116"/>
    </row>
    <row r="26" spans="2:34" ht="15.75" customHeight="1" x14ac:dyDescent="0.25">
      <c r="J26"/>
      <c r="K26"/>
      <c r="L26"/>
      <c r="M26"/>
      <c r="N26"/>
      <c r="O26"/>
      <c r="P26"/>
      <c r="R26" s="116"/>
      <c r="S26" s="116"/>
      <c r="T26" s="116"/>
    </row>
    <row r="27" spans="2:34" ht="15.75" customHeight="1" x14ac:dyDescent="0.25">
      <c r="J27"/>
      <c r="K27"/>
      <c r="L27"/>
      <c r="M27"/>
      <c r="N27"/>
      <c r="O27"/>
      <c r="P27"/>
      <c r="R27" s="116"/>
      <c r="S27" s="116"/>
      <c r="T27" s="116"/>
    </row>
    <row r="28" spans="2:34" ht="42" customHeight="1" x14ac:dyDescent="0.25">
      <c r="R28" s="116"/>
      <c r="S28" s="116"/>
      <c r="T28" s="116"/>
    </row>
    <row r="29" spans="2:34" ht="15.75" customHeight="1" x14ac:dyDescent="0.25">
      <c r="G29"/>
      <c r="H29"/>
      <c r="I29"/>
      <c r="J29"/>
      <c r="K29"/>
      <c r="L29"/>
      <c r="M29"/>
      <c r="N29"/>
      <c r="O29"/>
      <c r="P29"/>
      <c r="R29" s="116"/>
      <c r="S29" s="116"/>
      <c r="T29" s="116"/>
    </row>
    <row r="30" spans="2:34" ht="15.75" customHeight="1" x14ac:dyDescent="0.25">
      <c r="G30" s="96"/>
      <c r="H30" s="96"/>
      <c r="I30" s="96"/>
      <c r="J30" s="96"/>
      <c r="K30" s="96"/>
      <c r="L30" s="96"/>
      <c r="M30" s="96"/>
      <c r="N30" s="96"/>
      <c r="O30" s="96"/>
      <c r="P30" s="96"/>
      <c r="R30" s="116"/>
      <c r="S30" s="116"/>
      <c r="T30" s="116"/>
    </row>
    <row r="31" spans="2:34" ht="15.75" customHeight="1" x14ac:dyDescent="0.25">
      <c r="G31" s="96"/>
      <c r="H31" s="96"/>
      <c r="I31" s="96"/>
      <c r="J31" s="96"/>
      <c r="K31" s="96"/>
      <c r="L31" s="96"/>
      <c r="M31" s="96"/>
      <c r="N31" s="96"/>
      <c r="O31" s="96"/>
      <c r="P31" s="96"/>
      <c r="R31" s="116"/>
      <c r="S31" s="116"/>
      <c r="T31" s="116"/>
    </row>
    <row r="32" spans="2:34" ht="15.75" customHeight="1" x14ac:dyDescent="0.25">
      <c r="G32" s="96"/>
      <c r="H32" s="96"/>
      <c r="I32" s="96"/>
      <c r="J32" s="96"/>
      <c r="K32" s="96"/>
      <c r="L32" s="96"/>
      <c r="M32" s="96"/>
      <c r="N32" s="96"/>
      <c r="O32" s="96"/>
      <c r="P32" s="96"/>
      <c r="Q32" s="116"/>
      <c r="R32" s="116"/>
      <c r="S32" s="116"/>
      <c r="T32" s="116"/>
    </row>
    <row r="33" spans="2:20" ht="15" customHeight="1" x14ac:dyDescent="0.25">
      <c r="G33" s="96"/>
      <c r="H33" s="96"/>
      <c r="I33" s="96"/>
      <c r="J33" s="96"/>
      <c r="K33" s="96"/>
      <c r="L33" s="96"/>
      <c r="M33" s="96"/>
      <c r="N33" s="96"/>
      <c r="O33" s="96"/>
      <c r="P33" s="96"/>
      <c r="Q33" s="116"/>
      <c r="R33" s="116"/>
      <c r="S33" s="116"/>
      <c r="T33" s="116"/>
    </row>
    <row r="34" spans="2:20" ht="15" customHeight="1" x14ac:dyDescent="0.25">
      <c r="G34" s="96"/>
      <c r="H34" s="96"/>
      <c r="I34" s="96"/>
      <c r="J34" s="96"/>
      <c r="K34" s="96"/>
      <c r="L34" s="96"/>
      <c r="M34" s="96"/>
      <c r="N34" s="96"/>
      <c r="O34" s="96"/>
      <c r="P34" s="96"/>
      <c r="Q34" s="116"/>
      <c r="R34" s="116"/>
      <c r="S34" s="116"/>
      <c r="T34" s="116"/>
    </row>
    <row r="35" spans="2:20" ht="15" customHeight="1" x14ac:dyDescent="0.25">
      <c r="K35" s="116"/>
      <c r="L35" s="116"/>
      <c r="M35" s="116"/>
      <c r="N35" s="116"/>
      <c r="O35" s="116"/>
      <c r="P35" s="116"/>
      <c r="Q35" s="116"/>
      <c r="R35" s="116"/>
      <c r="S35" s="116"/>
      <c r="T35" s="116"/>
    </row>
    <row r="36" spans="2:20" ht="15" customHeight="1" x14ac:dyDescent="0.25">
      <c r="K36" s="116"/>
      <c r="L36" s="116"/>
      <c r="M36" s="116"/>
      <c r="N36" s="116"/>
      <c r="O36" s="116"/>
      <c r="P36" s="116"/>
      <c r="Q36" s="116"/>
      <c r="R36" s="116"/>
      <c r="S36" s="116"/>
      <c r="T36" s="116"/>
    </row>
    <row r="37" spans="2:20" ht="15" customHeight="1" x14ac:dyDescent="0.25">
      <c r="K37" s="116"/>
      <c r="L37" s="116"/>
      <c r="M37" s="116"/>
      <c r="N37" s="116"/>
      <c r="O37" s="116"/>
      <c r="P37" s="116"/>
      <c r="Q37" s="116"/>
      <c r="R37" s="116"/>
      <c r="S37" s="116"/>
      <c r="T37" s="116"/>
    </row>
    <row r="38" spans="2:20" ht="15" customHeight="1" x14ac:dyDescent="0.25">
      <c r="K38" s="116"/>
      <c r="L38" s="116"/>
      <c r="M38" s="116"/>
      <c r="N38" s="116"/>
      <c r="O38" s="116"/>
      <c r="P38" s="116"/>
      <c r="Q38" s="116"/>
      <c r="R38" s="116"/>
      <c r="S38" s="116"/>
      <c r="T38" s="116"/>
    </row>
    <row r="39" spans="2:20" ht="15" customHeight="1" thickBot="1" x14ac:dyDescent="0.3">
      <c r="K39" s="116"/>
      <c r="L39" s="116"/>
      <c r="M39" s="116"/>
      <c r="N39" s="116"/>
      <c r="O39" s="116"/>
      <c r="P39" s="116"/>
      <c r="Q39" s="116"/>
      <c r="R39" s="116"/>
      <c r="S39" s="116"/>
      <c r="T39" s="116"/>
    </row>
    <row r="40" spans="2:20" ht="15" customHeight="1" x14ac:dyDescent="0.25">
      <c r="B40" s="278" t="s">
        <v>116</v>
      </c>
      <c r="C40" s="279"/>
      <c r="D40" s="279"/>
      <c r="E40" s="279"/>
      <c r="F40" s="279"/>
      <c r="G40" s="279"/>
      <c r="H40" s="279"/>
      <c r="I40" s="279"/>
      <c r="J40" s="279"/>
      <c r="K40" s="280"/>
    </row>
    <row r="41" spans="2:20" ht="15" customHeight="1" x14ac:dyDescent="0.25">
      <c r="B41" s="281"/>
      <c r="C41" s="282"/>
      <c r="D41" s="282"/>
      <c r="E41" s="282"/>
      <c r="F41" s="282"/>
      <c r="G41" s="282"/>
      <c r="H41" s="282"/>
      <c r="I41" s="282"/>
      <c r="J41" s="282"/>
      <c r="K41" s="283"/>
    </row>
    <row r="42" spans="2:20" ht="15" customHeight="1" thickBot="1" x14ac:dyDescent="0.3">
      <c r="B42" s="284"/>
      <c r="C42" s="285"/>
      <c r="D42" s="285"/>
      <c r="E42" s="285"/>
      <c r="F42" s="285"/>
      <c r="G42" s="285"/>
      <c r="H42" s="285"/>
      <c r="I42" s="285"/>
      <c r="J42" s="285"/>
      <c r="K42" s="286"/>
    </row>
    <row r="43" spans="2:20" ht="15" customHeight="1" x14ac:dyDescent="0.25">
      <c r="B43" s="287" t="str">
        <f>"Según se muestra en la tabla CONTEXTO DE LA ORGANIZACIÓN el porcentaje de implementación alcanzado es de "&amp;TEXT(B18,"0.00%")&amp;"."&amp;CHAR(10)&amp;CHAR(10)&amp;""</f>
        <v xml:space="preserve">Según se muestra en la tabla CONTEXTO DE LA ORGANIZACIÓN el porcentaje de implementación alcanzado es de 0.00%.
</v>
      </c>
      <c r="C43" s="288"/>
      <c r="D43" s="288"/>
      <c r="E43" s="288"/>
      <c r="F43" s="288"/>
      <c r="G43" s="288"/>
      <c r="H43" s="288"/>
      <c r="I43" s="288"/>
      <c r="J43" s="288"/>
      <c r="K43" s="289"/>
    </row>
    <row r="44" spans="2:20" ht="54.75" customHeight="1" thickBot="1" x14ac:dyDescent="0.3">
      <c r="B44" s="273" t="s">
        <v>343</v>
      </c>
      <c r="C44" s="274"/>
      <c r="D44" s="274"/>
      <c r="E44" s="274"/>
      <c r="F44" s="274"/>
      <c r="G44" s="274"/>
      <c r="H44" s="274"/>
      <c r="I44" s="274"/>
      <c r="J44" s="274"/>
      <c r="K44" s="275"/>
    </row>
    <row r="45" spans="2:20" x14ac:dyDescent="0.25">
      <c r="B45" s="122"/>
      <c r="C45" s="122"/>
      <c r="D45" s="122"/>
      <c r="E45" s="122"/>
      <c r="F45" s="122"/>
    </row>
    <row r="46" spans="2:20" x14ac:dyDescent="0.25">
      <c r="B46" s="122"/>
      <c r="C46" s="122"/>
      <c r="D46" s="122"/>
      <c r="E46" s="122"/>
      <c r="F46" s="122"/>
    </row>
    <row r="47" spans="2:20" x14ac:dyDescent="0.25">
      <c r="B47" s="122"/>
      <c r="C47" s="122"/>
      <c r="D47" s="122"/>
      <c r="E47" s="122"/>
      <c r="F47" s="122"/>
    </row>
    <row r="48" spans="2:20" x14ac:dyDescent="0.25">
      <c r="B48" s="122"/>
      <c r="C48" s="122"/>
      <c r="D48" s="122"/>
      <c r="E48" s="122"/>
      <c r="F48" s="122"/>
    </row>
  </sheetData>
  <mergeCells count="9">
    <mergeCell ref="B44:K44"/>
    <mergeCell ref="B18:I18"/>
    <mergeCell ref="B9:I9"/>
    <mergeCell ref="B17:I17"/>
    <mergeCell ref="B3:K4"/>
    <mergeCell ref="F5:K6"/>
    <mergeCell ref="B5:E6"/>
    <mergeCell ref="B40:K42"/>
    <mergeCell ref="B43:K43"/>
  </mergeCells>
  <pageMargins left="0.7" right="0.7"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AF47"/>
  <sheetViews>
    <sheetView tabSelected="1" zoomScale="80" zoomScaleNormal="80" workbookViewId="0">
      <selection activeCell="S17" sqref="S17"/>
    </sheetView>
  </sheetViews>
  <sheetFormatPr defaultColWidth="11.42578125" defaultRowHeight="15" x14ac:dyDescent="0.25"/>
  <cols>
    <col min="1" max="1" width="11.85546875" style="38" customWidth="1"/>
    <col min="2" max="2" width="60.42578125" style="38" customWidth="1"/>
    <col min="3" max="9" width="11.5703125" style="38" customWidth="1"/>
    <col min="10" max="10" width="11.42578125" style="38" customWidth="1"/>
    <col min="11" max="16384" width="11.42578125" style="38"/>
  </cols>
  <sheetData>
    <row r="2" spans="2:32" ht="15.75" thickBot="1" x14ac:dyDescent="0.3"/>
    <row r="3" spans="2:32" ht="15" customHeight="1" x14ac:dyDescent="0.25">
      <c r="B3" s="243" t="s">
        <v>42</v>
      </c>
      <c r="C3" s="244"/>
      <c r="D3" s="244"/>
      <c r="E3" s="244"/>
      <c r="F3" s="244"/>
      <c r="G3" s="244"/>
      <c r="H3" s="244"/>
      <c r="I3" s="244"/>
      <c r="J3" s="245"/>
      <c r="K3"/>
      <c r="L3"/>
      <c r="M3"/>
      <c r="N3"/>
      <c r="O3"/>
      <c r="P3"/>
    </row>
    <row r="4" spans="2:32" ht="15.75" customHeight="1" thickBot="1" x14ac:dyDescent="0.3">
      <c r="B4" s="246"/>
      <c r="C4" s="247"/>
      <c r="D4" s="247"/>
      <c r="E4" s="247"/>
      <c r="F4" s="247"/>
      <c r="G4" s="247"/>
      <c r="H4" s="247"/>
      <c r="I4" s="247"/>
      <c r="J4" s="248"/>
      <c r="K4"/>
      <c r="L4"/>
      <c r="M4"/>
      <c r="N4"/>
      <c r="O4"/>
      <c r="P4"/>
    </row>
    <row r="5" spans="2:32" ht="15" customHeight="1" x14ac:dyDescent="0.25">
      <c r="B5" s="276" t="s">
        <v>113</v>
      </c>
      <c r="C5" s="277"/>
      <c r="D5" s="277"/>
      <c r="E5" s="249" t="str">
        <f>IF(M9&lt;=24%,"INICIAL",IF(M9&lt;=49%,"NOVATO",IF(M9&lt;=74%,"COMPETENTE",IF(M9&lt;=99%,"AVANZADO","EXPERTO"))))</f>
        <v>INICIAL</v>
      </c>
      <c r="F5" s="250"/>
      <c r="G5" s="250"/>
      <c r="H5" s="250"/>
      <c r="I5" s="250"/>
      <c r="J5" s="251"/>
      <c r="K5"/>
      <c r="L5"/>
      <c r="M5"/>
      <c r="N5"/>
      <c r="O5"/>
      <c r="P5"/>
    </row>
    <row r="6" spans="2:32" ht="15.75" customHeight="1" thickBot="1" x14ac:dyDescent="0.3">
      <c r="B6" s="252"/>
      <c r="C6" s="253"/>
      <c r="D6" s="253"/>
      <c r="E6" s="252"/>
      <c r="F6" s="253"/>
      <c r="G6" s="253"/>
      <c r="H6" s="253"/>
      <c r="I6" s="253"/>
      <c r="J6" s="254"/>
      <c r="K6"/>
      <c r="L6"/>
      <c r="M6"/>
      <c r="N6"/>
      <c r="O6"/>
      <c r="P6"/>
    </row>
    <row r="7" spans="2:32" x14ac:dyDescent="0.25">
      <c r="B7" s="37"/>
      <c r="C7" s="37"/>
      <c r="D7" s="37"/>
      <c r="E7" s="37"/>
      <c r="F7" s="37"/>
      <c r="G7" s="37"/>
      <c r="H7" s="37"/>
      <c r="I7" s="37"/>
      <c r="J7" s="37"/>
      <c r="K7" s="37"/>
      <c r="L7" s="37"/>
      <c r="M7" s="37"/>
      <c r="N7" s="37"/>
      <c r="O7" s="37"/>
      <c r="P7" s="37"/>
    </row>
    <row r="8" spans="2:32" ht="15.75" customHeight="1" thickBot="1" x14ac:dyDescent="0.3">
      <c r="AA8"/>
      <c r="AB8"/>
      <c r="AC8"/>
      <c r="AD8"/>
      <c r="AE8"/>
      <c r="AF8"/>
    </row>
    <row r="9" spans="2:32" ht="15.75" customHeight="1" thickBot="1" x14ac:dyDescent="0.3">
      <c r="B9" s="236" t="s">
        <v>52</v>
      </c>
      <c r="C9" s="237"/>
      <c r="D9" s="237"/>
      <c r="E9" s="237"/>
      <c r="F9" s="237"/>
      <c r="G9" s="237"/>
      <c r="H9" s="237"/>
      <c r="I9" s="238"/>
      <c r="AA9"/>
      <c r="AB9"/>
      <c r="AC9"/>
      <c r="AD9"/>
      <c r="AE9"/>
      <c r="AF9"/>
    </row>
    <row r="10" spans="2:32" ht="27.75" customHeight="1" thickBot="1" x14ac:dyDescent="0.3">
      <c r="B10" s="98"/>
      <c r="C10" s="123" t="s">
        <v>80</v>
      </c>
      <c r="D10" s="124" t="s">
        <v>81</v>
      </c>
      <c r="E10" s="124" t="s">
        <v>82</v>
      </c>
      <c r="F10" s="125" t="s">
        <v>83</v>
      </c>
      <c r="G10" s="124" t="s">
        <v>84</v>
      </c>
      <c r="H10" s="126" t="s">
        <v>9</v>
      </c>
      <c r="I10" s="99"/>
      <c r="AA10"/>
      <c r="AB10"/>
      <c r="AC10"/>
      <c r="AD10"/>
      <c r="AE10"/>
      <c r="AF10"/>
    </row>
    <row r="11" spans="2:32" ht="15.75" customHeight="1" thickBot="1" x14ac:dyDescent="0.3">
      <c r="B11" s="86" t="s">
        <v>45</v>
      </c>
      <c r="C11" s="86">
        <v>0</v>
      </c>
      <c r="D11" s="86">
        <v>0.25</v>
      </c>
      <c r="E11" s="86">
        <v>0.5</v>
      </c>
      <c r="F11" s="86">
        <v>0.75</v>
      </c>
      <c r="G11" s="86">
        <v>1</v>
      </c>
      <c r="H11" s="87" t="s">
        <v>8</v>
      </c>
      <c r="I11" s="88" t="s">
        <v>46</v>
      </c>
      <c r="AA11"/>
      <c r="AB11"/>
      <c r="AC11"/>
      <c r="AD11"/>
      <c r="AE11"/>
      <c r="AF11"/>
    </row>
    <row r="12" spans="2:32" x14ac:dyDescent="0.25">
      <c r="B12" s="117" t="s">
        <v>19</v>
      </c>
      <c r="C12" s="109">
        <f>COUNTIF(REQUISITOS!B36:B44,"X")</f>
        <v>0</v>
      </c>
      <c r="D12" s="109">
        <f>COUNTIF(REQUISITOS!C36:C44,"X")</f>
        <v>0</v>
      </c>
      <c r="E12" s="109">
        <f>COUNTIF(REQUISITOS!D36:D44,"X")</f>
        <v>0</v>
      </c>
      <c r="F12" s="109">
        <f>COUNTIF(REQUISITOS!E36:E44,"X")</f>
        <v>0</v>
      </c>
      <c r="G12" s="109">
        <f>COUNTIF(REQUISITOS!F36:F44,"X")</f>
        <v>0</v>
      </c>
      <c r="H12" s="109">
        <f>COUNTIF(REQUISITOS!G36:G44,"X")</f>
        <v>0</v>
      </c>
      <c r="I12" s="114">
        <f>SUM(C12:H12)</f>
        <v>0</v>
      </c>
      <c r="AA12"/>
      <c r="AB12"/>
      <c r="AC12"/>
      <c r="AD12"/>
      <c r="AE12"/>
      <c r="AF12"/>
    </row>
    <row r="13" spans="2:32" x14ac:dyDescent="0.25">
      <c r="B13" s="101" t="s">
        <v>164</v>
      </c>
      <c r="C13" s="106">
        <f>COUNTIF(REQUISITOS!B47:B55,"X")</f>
        <v>0</v>
      </c>
      <c r="D13" s="106">
        <f>COUNTIF(REQUISITOS!C47:C55,"X")</f>
        <v>0</v>
      </c>
      <c r="E13" s="106">
        <f>COUNTIF(REQUISITOS!D47:D55,"X")</f>
        <v>0</v>
      </c>
      <c r="F13" s="106">
        <f>COUNTIF(REQUISITOS!E47:E55,"X")</f>
        <v>0</v>
      </c>
      <c r="G13" s="106">
        <f>COUNTIF(REQUISITOS!F47:F55,"X")</f>
        <v>0</v>
      </c>
      <c r="H13" s="106">
        <f>COUNTIF(REQUISITOS!G47:G55,"X")</f>
        <v>0</v>
      </c>
      <c r="I13" s="115">
        <f>SUM(C13:H13)</f>
        <v>0</v>
      </c>
      <c r="AA13"/>
      <c r="AB13"/>
      <c r="AC13"/>
      <c r="AD13"/>
      <c r="AE13"/>
      <c r="AF13"/>
    </row>
    <row r="14" spans="2:32" ht="15.75" thickBot="1" x14ac:dyDescent="0.3">
      <c r="B14" s="101" t="s">
        <v>20</v>
      </c>
      <c r="C14" s="107">
        <f>COUNTIF(REQUISITOS!B58:B60,"X")</f>
        <v>0</v>
      </c>
      <c r="D14" s="107">
        <f>COUNTIF(REQUISITOS!C58:C60,"X")</f>
        <v>0</v>
      </c>
      <c r="E14" s="107">
        <f>COUNTIF(REQUISITOS!D58:D60,"X")</f>
        <v>0</v>
      </c>
      <c r="F14" s="107">
        <f>COUNTIF(REQUISITOS!E58:E60,"X")</f>
        <v>0</v>
      </c>
      <c r="G14" s="107">
        <f>COUNTIF(REQUISITOS!F58:F60,"X")</f>
        <v>0</v>
      </c>
      <c r="H14" s="107">
        <f>COUNTIF(REQUISITOS!G58:G60,"X")</f>
        <v>0</v>
      </c>
      <c r="I14" s="143">
        <f>SUM(C14:H14)</f>
        <v>0</v>
      </c>
      <c r="AA14"/>
      <c r="AB14"/>
      <c r="AC14"/>
      <c r="AD14"/>
      <c r="AE14"/>
      <c r="AF14"/>
    </row>
    <row r="15" spans="2:32" ht="15.75" customHeight="1" thickBot="1" x14ac:dyDescent="0.3">
      <c r="B15" s="89" t="s">
        <v>46</v>
      </c>
      <c r="C15" s="144">
        <f t="shared" ref="C15:H15" si="0">SUM(C12:C14)</f>
        <v>0</v>
      </c>
      <c r="D15" s="144">
        <f t="shared" si="0"/>
        <v>0</v>
      </c>
      <c r="E15" s="130">
        <f t="shared" si="0"/>
        <v>0</v>
      </c>
      <c r="F15" s="145">
        <f t="shared" si="0"/>
        <v>0</v>
      </c>
      <c r="G15" s="130">
        <f t="shared" si="0"/>
        <v>0</v>
      </c>
      <c r="H15" s="145">
        <f t="shared" si="0"/>
        <v>0</v>
      </c>
      <c r="I15" s="130">
        <f>SUM(I12:I14)-H15</f>
        <v>0</v>
      </c>
      <c r="AA15"/>
      <c r="AB15"/>
      <c r="AC15"/>
      <c r="AD15"/>
      <c r="AE15"/>
      <c r="AF15"/>
    </row>
    <row r="16" spans="2:32" ht="15.75" customHeight="1" thickBot="1" x14ac:dyDescent="0.3">
      <c r="B16" s="239" t="s">
        <v>86</v>
      </c>
      <c r="C16" s="240"/>
      <c r="D16" s="240"/>
      <c r="E16" s="240"/>
      <c r="F16" s="240"/>
      <c r="G16" s="240"/>
      <c r="H16" s="240"/>
      <c r="I16" s="241"/>
      <c r="AA16"/>
      <c r="AB16"/>
      <c r="AC16"/>
      <c r="AD16"/>
      <c r="AE16"/>
      <c r="AF16"/>
    </row>
    <row r="17" spans="2:32" ht="15.75" customHeight="1" thickBot="1" x14ac:dyDescent="0.3">
      <c r="B17" s="234">
        <f>IF(I15=0,0,(C15*C11+D15*D11+E15*E11+F15*F11+G15*G11)/I15)</f>
        <v>0</v>
      </c>
      <c r="C17" s="235"/>
      <c r="D17" s="235"/>
      <c r="E17" s="235"/>
      <c r="F17" s="235"/>
      <c r="G17" s="235"/>
      <c r="H17" s="235"/>
      <c r="I17" s="205"/>
      <c r="AA17"/>
      <c r="AB17"/>
      <c r="AC17"/>
      <c r="AD17"/>
      <c r="AE17"/>
      <c r="AF17"/>
    </row>
    <row r="18" spans="2:32" x14ac:dyDescent="0.25">
      <c r="AA18"/>
      <c r="AB18"/>
      <c r="AC18"/>
      <c r="AD18"/>
      <c r="AE18"/>
      <c r="AF18"/>
    </row>
    <row r="19" spans="2:32" x14ac:dyDescent="0.25">
      <c r="AA19"/>
      <c r="AB19"/>
      <c r="AC19"/>
      <c r="AD19"/>
      <c r="AE19"/>
      <c r="AF19"/>
    </row>
    <row r="26" spans="2:32" ht="15.75" customHeight="1" x14ac:dyDescent="0.25">
      <c r="J26" s="34"/>
      <c r="K26" s="34"/>
      <c r="L26" s="34"/>
      <c r="M26" s="34"/>
      <c r="N26" s="34"/>
      <c r="O26" s="34"/>
    </row>
    <row r="27" spans="2:32" ht="15.75" customHeight="1" x14ac:dyDescent="0.25">
      <c r="J27" s="34"/>
      <c r="K27" s="34"/>
      <c r="L27" s="34"/>
      <c r="M27" s="34"/>
      <c r="N27" s="34"/>
      <c r="O27" s="34"/>
    </row>
    <row r="28" spans="2:32" ht="15" customHeight="1" x14ac:dyDescent="0.25"/>
    <row r="29" spans="2:32" ht="15" customHeight="1" x14ac:dyDescent="0.25"/>
    <row r="30" spans="2:32" ht="15" customHeight="1" x14ac:dyDescent="0.25"/>
    <row r="31" spans="2:32" ht="15" customHeight="1" x14ac:dyDescent="0.25"/>
    <row r="32" spans="2:32" ht="15" customHeight="1" x14ac:dyDescent="0.25"/>
    <row r="33" spans="2:11" ht="15" customHeight="1" x14ac:dyDescent="0.25"/>
    <row r="34" spans="2:11" ht="15" customHeight="1" x14ac:dyDescent="0.25"/>
    <row r="35" spans="2:11" ht="15" customHeight="1" x14ac:dyDescent="0.25"/>
    <row r="36" spans="2:11" ht="15" customHeight="1" x14ac:dyDescent="0.25"/>
    <row r="37" spans="2:11" ht="15" customHeight="1" x14ac:dyDescent="0.25">
      <c r="K37"/>
    </row>
    <row r="38" spans="2:11" ht="15" customHeight="1" thickBot="1" x14ac:dyDescent="0.3">
      <c r="K38"/>
    </row>
    <row r="39" spans="2:11" ht="15" customHeight="1" x14ac:dyDescent="0.25">
      <c r="B39" s="278" t="s">
        <v>116</v>
      </c>
      <c r="C39" s="299"/>
      <c r="D39" s="299"/>
      <c r="E39" s="299"/>
      <c r="F39" s="299"/>
      <c r="G39" s="299"/>
      <c r="H39" s="299"/>
      <c r="I39" s="299"/>
      <c r="J39" s="300"/>
      <c r="K39"/>
    </row>
    <row r="40" spans="2:11" ht="15" customHeight="1" x14ac:dyDescent="0.25">
      <c r="B40" s="301"/>
      <c r="C40" s="302"/>
      <c r="D40" s="302"/>
      <c r="E40" s="302"/>
      <c r="F40" s="302"/>
      <c r="G40" s="302"/>
      <c r="H40" s="302"/>
      <c r="I40" s="302"/>
      <c r="J40" s="303"/>
      <c r="K40"/>
    </row>
    <row r="41" spans="2:11" ht="15" customHeight="1" thickBot="1" x14ac:dyDescent="0.3">
      <c r="B41" s="304"/>
      <c r="C41" s="305"/>
      <c r="D41" s="305"/>
      <c r="E41" s="305"/>
      <c r="F41" s="305"/>
      <c r="G41" s="305"/>
      <c r="H41" s="305"/>
      <c r="I41" s="305"/>
      <c r="J41" s="306"/>
      <c r="K41"/>
    </row>
    <row r="42" spans="2:11" ht="15" customHeight="1" x14ac:dyDescent="0.25">
      <c r="B42" s="296" t="str">
        <f>"Según se muestra en la tabla LIDERAZGO el porcentaje de implementación alcanzado es de "&amp;TEXT(B17,"0.00%")&amp;""</f>
        <v>Según se muestra en la tabla LIDERAZGO el porcentaje de implementación alcanzado es de 0.00%</v>
      </c>
      <c r="C42" s="297"/>
      <c r="D42" s="297"/>
      <c r="E42" s="297"/>
      <c r="F42" s="297"/>
      <c r="G42" s="297"/>
      <c r="H42" s="297"/>
      <c r="I42" s="297"/>
      <c r="J42" s="298"/>
      <c r="K42"/>
    </row>
    <row r="43" spans="2:11" ht="15" customHeight="1" x14ac:dyDescent="0.25">
      <c r="B43" s="290" t="s">
        <v>344</v>
      </c>
      <c r="C43" s="291"/>
      <c r="D43" s="291"/>
      <c r="E43" s="291"/>
      <c r="F43" s="291"/>
      <c r="G43" s="291"/>
      <c r="H43" s="291"/>
      <c r="I43" s="291"/>
      <c r="J43" s="292"/>
    </row>
    <row r="44" spans="2:11" x14ac:dyDescent="0.25">
      <c r="B44" s="290"/>
      <c r="C44" s="291"/>
      <c r="D44" s="291"/>
      <c r="E44" s="291"/>
      <c r="F44" s="291"/>
      <c r="G44" s="291"/>
      <c r="H44" s="291"/>
      <c r="I44" s="291"/>
      <c r="J44" s="292"/>
    </row>
    <row r="45" spans="2:11" x14ac:dyDescent="0.25">
      <c r="B45" s="290"/>
      <c r="C45" s="291"/>
      <c r="D45" s="291"/>
      <c r="E45" s="291"/>
      <c r="F45" s="291"/>
      <c r="G45" s="291"/>
      <c r="H45" s="291"/>
      <c r="I45" s="291"/>
      <c r="J45" s="292"/>
    </row>
    <row r="46" spans="2:11" x14ac:dyDescent="0.25">
      <c r="B46" s="290"/>
      <c r="C46" s="291"/>
      <c r="D46" s="291"/>
      <c r="E46" s="291"/>
      <c r="F46" s="291"/>
      <c r="G46" s="291"/>
      <c r="H46" s="291"/>
      <c r="I46" s="291"/>
      <c r="J46" s="292"/>
    </row>
    <row r="47" spans="2:11" ht="15.75" thickBot="1" x14ac:dyDescent="0.3">
      <c r="B47" s="293"/>
      <c r="C47" s="294"/>
      <c r="D47" s="294"/>
      <c r="E47" s="294"/>
      <c r="F47" s="294"/>
      <c r="G47" s="294"/>
      <c r="H47" s="294"/>
      <c r="I47" s="294"/>
      <c r="J47" s="295"/>
    </row>
  </sheetData>
  <mergeCells count="9">
    <mergeCell ref="B43:J47"/>
    <mergeCell ref="B42:J42"/>
    <mergeCell ref="B3:J4"/>
    <mergeCell ref="B5:D6"/>
    <mergeCell ref="E5:J6"/>
    <mergeCell ref="B39:J41"/>
    <mergeCell ref="B9:I9"/>
    <mergeCell ref="B16:I16"/>
    <mergeCell ref="B17:I17"/>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AG52"/>
  <sheetViews>
    <sheetView topLeftCell="A16" zoomScale="70" zoomScaleNormal="70" workbookViewId="0">
      <selection activeCell="G53" sqref="G53"/>
    </sheetView>
  </sheetViews>
  <sheetFormatPr defaultColWidth="11.42578125" defaultRowHeight="15" x14ac:dyDescent="0.25"/>
  <cols>
    <col min="1" max="1" width="11.42578125" style="38" customWidth="1"/>
    <col min="2" max="2" width="55.42578125" style="38" customWidth="1"/>
    <col min="3" max="9" width="11.5703125" style="38" customWidth="1"/>
    <col min="10" max="10" width="11.42578125" style="38" customWidth="1"/>
    <col min="11" max="16384" width="11.42578125" style="38"/>
  </cols>
  <sheetData>
    <row r="2" spans="2:33" ht="15.75" thickBot="1" x14ac:dyDescent="0.3"/>
    <row r="3" spans="2:33" ht="15" customHeight="1" x14ac:dyDescent="0.25">
      <c r="B3" s="243" t="s">
        <v>42</v>
      </c>
      <c r="C3" s="244"/>
      <c r="D3" s="244"/>
      <c r="E3" s="244"/>
      <c r="F3" s="244"/>
      <c r="G3" s="244"/>
      <c r="H3" s="244"/>
      <c r="I3" s="244"/>
      <c r="J3" s="244"/>
      <c r="K3" s="244"/>
      <c r="L3" s="244"/>
      <c r="M3" s="245"/>
      <c r="N3"/>
      <c r="O3"/>
      <c r="P3"/>
    </row>
    <row r="4" spans="2:33" ht="15.75" customHeight="1" thickBot="1" x14ac:dyDescent="0.3">
      <c r="B4" s="246"/>
      <c r="C4" s="247"/>
      <c r="D4" s="247"/>
      <c r="E4" s="247"/>
      <c r="F4" s="247"/>
      <c r="G4" s="247"/>
      <c r="H4" s="247"/>
      <c r="I4" s="247"/>
      <c r="J4" s="247"/>
      <c r="K4" s="247"/>
      <c r="L4" s="247"/>
      <c r="M4" s="248"/>
      <c r="N4"/>
      <c r="O4"/>
      <c r="P4"/>
    </row>
    <row r="5" spans="2:33" ht="15" customHeight="1" x14ac:dyDescent="0.25">
      <c r="B5" s="249" t="s">
        <v>113</v>
      </c>
      <c r="C5" s="250"/>
      <c r="D5" s="250"/>
      <c r="E5" s="250"/>
      <c r="F5" s="249" t="str">
        <f>IF(M9&lt;=24%,"INICIAL",IF(M9&lt;=49%,"NOVATO",IF(M9&lt;=74%,"COMPETENTE",IF(M9&lt;=99%,"AVANZADO","EXPERTO"))))</f>
        <v>INICIAL</v>
      </c>
      <c r="G5" s="250"/>
      <c r="H5" s="250"/>
      <c r="I5" s="250"/>
      <c r="J5" s="250"/>
      <c r="K5" s="250"/>
      <c r="L5" s="250"/>
      <c r="M5" s="251"/>
      <c r="N5"/>
      <c r="O5"/>
      <c r="P5"/>
    </row>
    <row r="6" spans="2:33" ht="15.75" customHeight="1" thickBot="1" x14ac:dyDescent="0.3">
      <c r="B6" s="252"/>
      <c r="C6" s="253"/>
      <c r="D6" s="253"/>
      <c r="E6" s="253"/>
      <c r="F6" s="252"/>
      <c r="G6" s="253"/>
      <c r="H6" s="253"/>
      <c r="I6" s="253"/>
      <c r="J6" s="253"/>
      <c r="K6" s="253"/>
      <c r="L6" s="253"/>
      <c r="M6" s="254"/>
      <c r="N6"/>
      <c r="O6"/>
      <c r="P6"/>
    </row>
    <row r="8" spans="2:33" ht="15.75" customHeight="1" thickBot="1" x14ac:dyDescent="0.3"/>
    <row r="9" spans="2:33" ht="15.75" customHeight="1" thickBot="1" x14ac:dyDescent="0.3">
      <c r="B9" s="236" t="s">
        <v>87</v>
      </c>
      <c r="C9" s="237"/>
      <c r="D9" s="237"/>
      <c r="E9" s="237"/>
      <c r="F9" s="237"/>
      <c r="G9" s="237"/>
      <c r="H9" s="237"/>
      <c r="I9" s="238"/>
    </row>
    <row r="10" spans="2:33" ht="33" customHeight="1" thickBot="1" x14ac:dyDescent="0.3">
      <c r="B10" s="98"/>
      <c r="C10" s="123" t="s">
        <v>80</v>
      </c>
      <c r="D10" s="124" t="s">
        <v>81</v>
      </c>
      <c r="E10" s="124" t="s">
        <v>82</v>
      </c>
      <c r="F10" s="125" t="s">
        <v>83</v>
      </c>
      <c r="G10" s="124" t="s">
        <v>84</v>
      </c>
      <c r="H10" s="126" t="s">
        <v>9</v>
      </c>
      <c r="I10" s="99"/>
      <c r="AB10"/>
      <c r="AC10"/>
      <c r="AD10"/>
      <c r="AE10"/>
      <c r="AF10"/>
      <c r="AG10"/>
    </row>
    <row r="11" spans="2:33" ht="16.5" customHeight="1" thickBot="1" x14ac:dyDescent="0.3">
      <c r="B11" s="86" t="s">
        <v>45</v>
      </c>
      <c r="C11" s="86">
        <v>0</v>
      </c>
      <c r="D11" s="86">
        <v>0.25</v>
      </c>
      <c r="E11" s="86">
        <v>0.5</v>
      </c>
      <c r="F11" s="86">
        <v>0.75</v>
      </c>
      <c r="G11" s="86">
        <v>1</v>
      </c>
      <c r="H11" s="87" t="s">
        <v>8</v>
      </c>
      <c r="I11" s="88" t="s">
        <v>46</v>
      </c>
      <c r="AB11"/>
      <c r="AC11"/>
      <c r="AD11"/>
      <c r="AE11"/>
      <c r="AF11"/>
      <c r="AG11"/>
    </row>
    <row r="12" spans="2:33" s="63" customFormat="1" ht="27" customHeight="1" x14ac:dyDescent="0.25">
      <c r="B12" s="100" t="s">
        <v>23</v>
      </c>
      <c r="C12" s="109">
        <f>COUNTIF(REQUISITOS!B65:B98,"X")</f>
        <v>0</v>
      </c>
      <c r="D12" s="109">
        <f>COUNTIF(REQUISITOS!C65:C98,"X")</f>
        <v>0</v>
      </c>
      <c r="E12" s="109">
        <f>COUNTIF(REQUISITOS!D65:D98,"X")</f>
        <v>0</v>
      </c>
      <c r="F12" s="109">
        <f>COUNTIF(REQUISITOS!E65:E98,"X")</f>
        <v>0</v>
      </c>
      <c r="G12" s="109">
        <f>COUNTIF(REQUISITOS!F65:F98,"X")</f>
        <v>0</v>
      </c>
      <c r="H12" s="109">
        <f>COUNTIF(REQUISITOS!G65:G98,"X")</f>
        <v>0</v>
      </c>
      <c r="I12" s="146">
        <f>SUM(C12:H12)</f>
        <v>0</v>
      </c>
      <c r="AB12"/>
      <c r="AC12"/>
      <c r="AD12"/>
      <c r="AE12"/>
      <c r="AF12"/>
      <c r="AG12"/>
    </row>
    <row r="13" spans="2:33" s="63" customFormat="1" ht="27" customHeight="1" thickBot="1" x14ac:dyDescent="0.3">
      <c r="B13" s="101" t="s">
        <v>345</v>
      </c>
      <c r="C13" s="108">
        <f>COUNTIF(REQUISITOS!B102:B116,"X")</f>
        <v>0</v>
      </c>
      <c r="D13" s="108">
        <f>COUNTIF(REQUISITOS!C102:C116,"X")</f>
        <v>0</v>
      </c>
      <c r="E13" s="108">
        <f>COUNTIF(REQUISITOS!D102:D116,"X")</f>
        <v>0</v>
      </c>
      <c r="F13" s="108">
        <f>COUNTIF(REQUISITOS!E102:E116,"X")</f>
        <v>0</v>
      </c>
      <c r="G13" s="108">
        <f>COUNTIF(REQUISITOS!F102:F116,"X")</f>
        <v>0</v>
      </c>
      <c r="H13" s="108">
        <f>COUNTIF(REQUISITOS!G102:G116,"X")</f>
        <v>0</v>
      </c>
      <c r="I13" s="143">
        <f>SUM(C13:H13)</f>
        <v>0</v>
      </c>
      <c r="AB13"/>
      <c r="AC13"/>
      <c r="AD13"/>
      <c r="AE13"/>
      <c r="AF13"/>
      <c r="AG13"/>
    </row>
    <row r="14" spans="2:33" ht="15.75" customHeight="1" thickBot="1" x14ac:dyDescent="0.3">
      <c r="B14" s="92" t="s">
        <v>46</v>
      </c>
      <c r="C14" s="127">
        <f t="shared" ref="C14:H14" si="0">SUM(C12:C13)</f>
        <v>0</v>
      </c>
      <c r="D14" s="127">
        <f t="shared" si="0"/>
        <v>0</v>
      </c>
      <c r="E14" s="127">
        <f t="shared" si="0"/>
        <v>0</v>
      </c>
      <c r="F14" s="127">
        <f t="shared" si="0"/>
        <v>0</v>
      </c>
      <c r="G14" s="127">
        <f t="shared" si="0"/>
        <v>0</v>
      </c>
      <c r="H14" s="127">
        <f t="shared" si="0"/>
        <v>0</v>
      </c>
      <c r="I14" s="93">
        <f>SUM(I12:I13)-H14</f>
        <v>0</v>
      </c>
      <c r="AB14"/>
      <c r="AC14"/>
      <c r="AD14"/>
      <c r="AE14"/>
      <c r="AF14"/>
      <c r="AG14"/>
    </row>
    <row r="15" spans="2:33" ht="15.75" customHeight="1" thickBot="1" x14ac:dyDescent="0.3">
      <c r="B15" s="239" t="s">
        <v>88</v>
      </c>
      <c r="C15" s="240"/>
      <c r="D15" s="240"/>
      <c r="E15" s="240"/>
      <c r="F15" s="240"/>
      <c r="G15" s="240"/>
      <c r="H15" s="240"/>
      <c r="I15" s="241"/>
      <c r="AB15"/>
      <c r="AC15"/>
      <c r="AD15"/>
      <c r="AE15"/>
      <c r="AF15"/>
      <c r="AG15"/>
    </row>
    <row r="16" spans="2:33" ht="15.75" customHeight="1" thickBot="1" x14ac:dyDescent="0.3">
      <c r="B16" s="234">
        <f>IF(I14=0,0,(C14*C11+D14*D11+E14*E11+F14*F11+G14*G11)/I14)</f>
        <v>0</v>
      </c>
      <c r="C16" s="235"/>
      <c r="D16" s="235"/>
      <c r="E16" s="235"/>
      <c r="F16" s="235"/>
      <c r="G16" s="235"/>
      <c r="H16" s="235"/>
      <c r="I16" s="205"/>
      <c r="AB16"/>
      <c r="AC16"/>
      <c r="AD16"/>
      <c r="AE16"/>
      <c r="AF16"/>
      <c r="AG16"/>
    </row>
    <row r="17" spans="28:33" x14ac:dyDescent="0.25">
      <c r="AB17"/>
      <c r="AC17"/>
      <c r="AD17"/>
      <c r="AE17"/>
      <c r="AF17"/>
      <c r="AG17"/>
    </row>
    <row r="25" spans="28:33" ht="15.75" customHeight="1" x14ac:dyDescent="0.25"/>
    <row r="27" spans="28:33" ht="15" customHeight="1" x14ac:dyDescent="0.25"/>
    <row r="41" spans="1:13" ht="15.75" thickBot="1" x14ac:dyDescent="0.3"/>
    <row r="42" spans="1:13" ht="15" customHeight="1" x14ac:dyDescent="0.25">
      <c r="B42" s="278" t="s">
        <v>116</v>
      </c>
      <c r="C42" s="279"/>
      <c r="D42" s="279"/>
      <c r="E42" s="279"/>
      <c r="F42" s="279"/>
      <c r="G42" s="279"/>
      <c r="H42" s="279"/>
      <c r="I42" s="279"/>
      <c r="J42" s="279"/>
      <c r="K42" s="279"/>
      <c r="L42" s="279"/>
      <c r="M42" s="280"/>
    </row>
    <row r="43" spans="1:13" ht="15" customHeight="1" x14ac:dyDescent="0.25">
      <c r="B43" s="281"/>
      <c r="C43" s="282"/>
      <c r="D43" s="282"/>
      <c r="E43" s="282"/>
      <c r="F43" s="282"/>
      <c r="G43" s="282"/>
      <c r="H43" s="282"/>
      <c r="I43" s="282"/>
      <c r="J43" s="282"/>
      <c r="K43" s="282"/>
      <c r="L43" s="282"/>
      <c r="M43" s="283"/>
    </row>
    <row r="44" spans="1:13" ht="15.75" customHeight="1" thickBot="1" x14ac:dyDescent="0.3">
      <c r="B44" s="284"/>
      <c r="C44" s="285"/>
      <c r="D44" s="285"/>
      <c r="E44" s="285"/>
      <c r="F44" s="285"/>
      <c r="G44" s="285"/>
      <c r="H44" s="285"/>
      <c r="I44" s="285"/>
      <c r="J44" s="285"/>
      <c r="K44" s="285"/>
      <c r="L44" s="285"/>
      <c r="M44" s="286"/>
    </row>
    <row r="45" spans="1:13" ht="15.75" x14ac:dyDescent="0.25">
      <c r="B45" s="310" t="str">
        <f>"Según se muestra en la tabla PLANIFICACIÓN el porcentaje de implementación alcanzado es de "&amp;TEXT(B20,"0.00%")&amp;""</f>
        <v>Según se muestra en la tabla PLANIFICACIÓN el porcentaje de implementación alcanzado es de 0.00%</v>
      </c>
      <c r="C45" s="311"/>
      <c r="D45" s="311"/>
      <c r="E45" s="311"/>
      <c r="F45" s="311"/>
      <c r="G45" s="311"/>
      <c r="H45" s="311"/>
      <c r="I45" s="311"/>
      <c r="J45" s="311"/>
      <c r="K45" s="311"/>
      <c r="L45" s="311"/>
      <c r="M45" s="312"/>
    </row>
    <row r="46" spans="1:13" ht="15" customHeight="1" x14ac:dyDescent="0.25">
      <c r="A46" s="121"/>
      <c r="B46" s="307" t="s">
        <v>346</v>
      </c>
      <c r="C46" s="308"/>
      <c r="D46" s="308"/>
      <c r="E46" s="308"/>
      <c r="F46" s="308"/>
      <c r="G46" s="308"/>
      <c r="H46" s="308"/>
      <c r="I46" s="308"/>
      <c r="J46" s="308"/>
      <c r="K46" s="308"/>
      <c r="L46" s="308"/>
      <c r="M46" s="309"/>
    </row>
    <row r="47" spans="1:13" x14ac:dyDescent="0.25">
      <c r="A47" s="121"/>
      <c r="B47" s="307"/>
      <c r="C47" s="308"/>
      <c r="D47" s="308"/>
      <c r="E47" s="308"/>
      <c r="F47" s="308"/>
      <c r="G47" s="308"/>
      <c r="H47" s="308"/>
      <c r="I47" s="308"/>
      <c r="J47" s="308"/>
      <c r="K47" s="308"/>
      <c r="L47" s="308"/>
      <c r="M47" s="309"/>
    </row>
    <row r="48" spans="1:13" x14ac:dyDescent="0.25">
      <c r="A48" s="121"/>
      <c r="B48" s="307"/>
      <c r="C48" s="308"/>
      <c r="D48" s="308"/>
      <c r="E48" s="308"/>
      <c r="F48" s="308"/>
      <c r="G48" s="308"/>
      <c r="H48" s="308"/>
      <c r="I48" s="308"/>
      <c r="J48" s="308"/>
      <c r="K48" s="308"/>
      <c r="L48" s="308"/>
      <c r="M48" s="309"/>
    </row>
    <row r="49" spans="1:13" ht="15.75" thickBot="1" x14ac:dyDescent="0.3">
      <c r="A49" s="121"/>
      <c r="B49" s="307"/>
      <c r="C49" s="308"/>
      <c r="D49" s="308"/>
      <c r="E49" s="308"/>
      <c r="F49" s="308"/>
      <c r="G49" s="308"/>
      <c r="H49" s="308"/>
      <c r="I49" s="308"/>
      <c r="J49" s="308"/>
      <c r="K49" s="308"/>
      <c r="L49" s="308"/>
      <c r="M49" s="309"/>
    </row>
    <row r="50" spans="1:13" x14ac:dyDescent="0.25">
      <c r="B50" s="129"/>
      <c r="C50" s="129"/>
      <c r="D50" s="129"/>
      <c r="E50" s="129"/>
      <c r="F50" s="129"/>
      <c r="G50" s="129"/>
      <c r="H50" s="129"/>
      <c r="I50" s="129"/>
      <c r="J50" s="129"/>
      <c r="K50" s="129"/>
      <c r="L50" s="129"/>
      <c r="M50" s="129"/>
    </row>
    <row r="51" spans="1:13" x14ac:dyDescent="0.25">
      <c r="B51" s="128"/>
      <c r="C51" s="128"/>
      <c r="D51" s="128"/>
      <c r="E51" s="128"/>
      <c r="F51" s="128"/>
      <c r="G51" s="128"/>
      <c r="H51" s="128"/>
      <c r="I51" s="128"/>
      <c r="J51" s="128"/>
      <c r="K51" s="128"/>
      <c r="L51" s="128"/>
      <c r="M51" s="128"/>
    </row>
    <row r="52" spans="1:13" ht="18.75" x14ac:dyDescent="0.3">
      <c r="C52" s="203"/>
    </row>
  </sheetData>
  <mergeCells count="9">
    <mergeCell ref="B46:M49"/>
    <mergeCell ref="B9:I9"/>
    <mergeCell ref="B16:I16"/>
    <mergeCell ref="B15:I15"/>
    <mergeCell ref="B3:M4"/>
    <mergeCell ref="B5:E6"/>
    <mergeCell ref="F5:M6"/>
    <mergeCell ref="B42:M44"/>
    <mergeCell ref="B45:M45"/>
  </mergeCell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AE50"/>
  <sheetViews>
    <sheetView topLeftCell="A34" zoomScale="70" zoomScaleNormal="70" workbookViewId="0">
      <selection activeCell="B50" sqref="B50"/>
    </sheetView>
  </sheetViews>
  <sheetFormatPr defaultColWidth="11.42578125" defaultRowHeight="15" x14ac:dyDescent="0.25"/>
  <cols>
    <col min="1" max="1" width="11.42578125" style="38" customWidth="1"/>
    <col min="2" max="2" width="43" style="38" customWidth="1"/>
    <col min="3" max="16384" width="11.42578125" style="38"/>
  </cols>
  <sheetData>
    <row r="2" spans="2:31" ht="15.75" thickBot="1" x14ac:dyDescent="0.3"/>
    <row r="3" spans="2:31" ht="15" customHeight="1" x14ac:dyDescent="0.25">
      <c r="B3" s="243" t="s">
        <v>42</v>
      </c>
      <c r="C3" s="244"/>
      <c r="D3" s="244"/>
      <c r="E3" s="244"/>
      <c r="F3" s="244"/>
      <c r="G3" s="244"/>
      <c r="H3" s="244"/>
      <c r="I3" s="244"/>
      <c r="J3" s="244"/>
      <c r="K3" s="244"/>
      <c r="L3" s="244"/>
      <c r="M3" s="245"/>
      <c r="N3"/>
      <c r="O3"/>
      <c r="P3"/>
    </row>
    <row r="4" spans="2:31" ht="15.75" customHeight="1" thickBot="1" x14ac:dyDescent="0.3">
      <c r="B4" s="246"/>
      <c r="C4" s="247"/>
      <c r="D4" s="247"/>
      <c r="E4" s="247"/>
      <c r="F4" s="247"/>
      <c r="G4" s="247"/>
      <c r="H4" s="247"/>
      <c r="I4" s="247"/>
      <c r="J4" s="247"/>
      <c r="K4" s="247"/>
      <c r="L4" s="247"/>
      <c r="M4" s="248"/>
      <c r="N4"/>
      <c r="O4"/>
      <c r="P4"/>
    </row>
    <row r="5" spans="2:31" ht="15" customHeight="1" x14ac:dyDescent="0.25">
      <c r="B5" s="249" t="s">
        <v>113</v>
      </c>
      <c r="C5" s="250"/>
      <c r="D5" s="250"/>
      <c r="E5" s="250"/>
      <c r="F5" s="250"/>
      <c r="G5" s="249" t="str">
        <f>IF(M9&lt;=24%,"INICIAL",IF(M9&lt;=49%,"NOVATO",IF(M9&lt;=74%,"COMPETENTE",IF(M9&lt;=99%,"AVANZADO","EXPERTO"))))</f>
        <v>INICIAL</v>
      </c>
      <c r="H5" s="250"/>
      <c r="I5" s="250"/>
      <c r="J5" s="250"/>
      <c r="K5" s="250"/>
      <c r="L5" s="250"/>
      <c r="M5" s="251"/>
      <c r="N5"/>
      <c r="O5"/>
      <c r="P5"/>
    </row>
    <row r="6" spans="2:31" ht="15.75" customHeight="1" thickBot="1" x14ac:dyDescent="0.3">
      <c r="B6" s="252"/>
      <c r="C6" s="253"/>
      <c r="D6" s="253"/>
      <c r="E6" s="253"/>
      <c r="F6" s="253"/>
      <c r="G6" s="252"/>
      <c r="H6" s="253"/>
      <c r="I6" s="253"/>
      <c r="J6" s="253"/>
      <c r="K6" s="253"/>
      <c r="L6" s="253"/>
      <c r="M6" s="254"/>
      <c r="N6"/>
      <c r="O6"/>
      <c r="P6"/>
    </row>
    <row r="8" spans="2:31" ht="15.75" customHeight="1" thickBot="1" x14ac:dyDescent="0.3"/>
    <row r="9" spans="2:31" ht="15.75" customHeight="1" thickBot="1" x14ac:dyDescent="0.3">
      <c r="B9" s="236" t="s">
        <v>117</v>
      </c>
      <c r="C9" s="237"/>
      <c r="D9" s="237"/>
      <c r="E9" s="237"/>
      <c r="F9" s="237"/>
      <c r="G9" s="237"/>
      <c r="H9" s="237"/>
      <c r="I9" s="238"/>
    </row>
    <row r="10" spans="2:31" ht="27.75" customHeight="1" thickBot="1" x14ac:dyDescent="0.3">
      <c r="B10" s="98"/>
      <c r="C10" s="123" t="s">
        <v>80</v>
      </c>
      <c r="D10" s="124" t="s">
        <v>81</v>
      </c>
      <c r="E10" s="124" t="s">
        <v>82</v>
      </c>
      <c r="F10" s="125" t="s">
        <v>83</v>
      </c>
      <c r="G10" s="124" t="s">
        <v>84</v>
      </c>
      <c r="H10" s="126" t="s">
        <v>9</v>
      </c>
      <c r="I10" s="99"/>
      <c r="AB10"/>
      <c r="AC10"/>
      <c r="AD10"/>
      <c r="AE10"/>
    </row>
    <row r="11" spans="2:31" ht="15.75" customHeight="1" thickBot="1" x14ac:dyDescent="0.3">
      <c r="B11" s="86" t="s">
        <v>45</v>
      </c>
      <c r="C11" s="86">
        <v>0</v>
      </c>
      <c r="D11" s="86">
        <v>0.25</v>
      </c>
      <c r="E11" s="86">
        <v>0.5</v>
      </c>
      <c r="F11" s="86">
        <v>0.75</v>
      </c>
      <c r="G11" s="86">
        <v>1</v>
      </c>
      <c r="H11" s="87" t="s">
        <v>8</v>
      </c>
      <c r="I11" s="88" t="s">
        <v>46</v>
      </c>
      <c r="AB11"/>
      <c r="AC11"/>
      <c r="AD11"/>
      <c r="AE11"/>
    </row>
    <row r="12" spans="2:31" ht="15.75" customHeight="1" x14ac:dyDescent="0.25">
      <c r="B12" s="118" t="s">
        <v>94</v>
      </c>
      <c r="C12" s="109">
        <f>COUNTIF(REQUISITOS!B119:B119,"X")</f>
        <v>0</v>
      </c>
      <c r="D12" s="109">
        <f>COUNTIF(REQUISITOS!C119:C119,"X")</f>
        <v>0</v>
      </c>
      <c r="E12" s="109">
        <f>COUNTIF(REQUISITOS!D119:D119,"X")</f>
        <v>0</v>
      </c>
      <c r="F12" s="109">
        <f>COUNTIF(REQUISITOS!E119:E119,"X")</f>
        <v>0</v>
      </c>
      <c r="G12" s="109">
        <f>COUNTIF(REQUISITOS!F119:F119,"X")</f>
        <v>0</v>
      </c>
      <c r="H12" s="109">
        <f>COUNTIF(REQUISITOS!G119:G119,"X")</f>
        <v>0</v>
      </c>
      <c r="I12" s="114">
        <f>SUM(C12:H12)</f>
        <v>0</v>
      </c>
      <c r="AB12"/>
      <c r="AC12"/>
      <c r="AD12"/>
      <c r="AE12"/>
    </row>
    <row r="13" spans="2:31" ht="15.75" customHeight="1" x14ac:dyDescent="0.25">
      <c r="B13" s="119" t="s">
        <v>27</v>
      </c>
      <c r="C13" s="108">
        <f>COUNTIF(REQUISITOS!B122:B126,"X")</f>
        <v>0</v>
      </c>
      <c r="D13" s="108">
        <f>COUNTIF(REQUISITOS!C122:C126,"X")</f>
        <v>0</v>
      </c>
      <c r="E13" s="108">
        <f>COUNTIF(REQUISITOS!D122:D126,"X")</f>
        <v>0</v>
      </c>
      <c r="F13" s="108">
        <f>COUNTIF(REQUISITOS!E122:E126,"X")</f>
        <v>0</v>
      </c>
      <c r="G13" s="108">
        <f>COUNTIF(REQUISITOS!F122:F126,"X")</f>
        <v>0</v>
      </c>
      <c r="H13" s="108">
        <f>COUNTIF(REQUISITOS!G122:G126,"X")</f>
        <v>0</v>
      </c>
      <c r="I13" s="115">
        <f>SUM(C13:H13)</f>
        <v>0</v>
      </c>
      <c r="AB13"/>
      <c r="AC13"/>
      <c r="AD13"/>
      <c r="AE13"/>
    </row>
    <row r="14" spans="2:31" ht="15.75" customHeight="1" x14ac:dyDescent="0.25">
      <c r="B14" s="119" t="s">
        <v>124</v>
      </c>
      <c r="C14" s="108">
        <f>COUNTIF(REQUISITOS!B129:B132,"X")</f>
        <v>0</v>
      </c>
      <c r="D14" s="108">
        <f>COUNTIF(REQUISITOS!C129:C132,"X")</f>
        <v>0</v>
      </c>
      <c r="E14" s="108">
        <f>COUNTIF(REQUISITOS!D129:D132,"X")</f>
        <v>0</v>
      </c>
      <c r="F14" s="108">
        <f>COUNTIF(REQUISITOS!E129:E132,"X")</f>
        <v>0</v>
      </c>
      <c r="G14" s="108">
        <f>COUNTIF(REQUISITOS!F129:F132,"X")</f>
        <v>0</v>
      </c>
      <c r="H14" s="108">
        <f>COUNTIF(REQUISITOS!G129:G132,"X")</f>
        <v>0</v>
      </c>
      <c r="I14" s="115">
        <f>SUM(C14:H14)</f>
        <v>0</v>
      </c>
      <c r="AB14"/>
      <c r="AC14"/>
      <c r="AD14"/>
      <c r="AE14"/>
    </row>
    <row r="15" spans="2:31" ht="15.75" customHeight="1" x14ac:dyDescent="0.25">
      <c r="B15" s="119" t="s">
        <v>29</v>
      </c>
      <c r="C15" s="108">
        <f>COUNTIF(REQUISITOS!B136:B150,"X")</f>
        <v>0</v>
      </c>
      <c r="D15" s="108">
        <f>COUNTIF(REQUISITOS!C136:C150,"X")</f>
        <v>0</v>
      </c>
      <c r="E15" s="108">
        <f>COUNTIF(REQUISITOS!D136:D150,"X")</f>
        <v>0</v>
      </c>
      <c r="F15" s="108">
        <f>COUNTIF(REQUISITOS!E136:E150,"X")</f>
        <v>0</v>
      </c>
      <c r="G15" s="108">
        <f>COUNTIF(REQUISITOS!F136:F150,"X")</f>
        <v>0</v>
      </c>
      <c r="H15" s="108">
        <f>COUNTIF(REQUISITOS!G136:G150,"X")</f>
        <v>0</v>
      </c>
      <c r="I15" s="115">
        <f>SUM(C15:H15)</f>
        <v>0</v>
      </c>
      <c r="AB15"/>
      <c r="AC15"/>
      <c r="AD15"/>
      <c r="AE15"/>
    </row>
    <row r="16" spans="2:31" ht="15.75" customHeight="1" thickBot="1" x14ac:dyDescent="0.3">
      <c r="B16" s="120" t="s">
        <v>115</v>
      </c>
      <c r="C16" s="108">
        <f>COUNTIF(REQUISITOS!B154:B169,"X")</f>
        <v>0</v>
      </c>
      <c r="D16" s="108">
        <f>COUNTIF(REQUISITOS!C154:C169,"X")</f>
        <v>0</v>
      </c>
      <c r="E16" s="108">
        <f>COUNTIF(REQUISITOS!D154:D169,"X")</f>
        <v>0</v>
      </c>
      <c r="F16" s="108">
        <f>COUNTIF(REQUISITOS!E154:E169,"X")</f>
        <v>0</v>
      </c>
      <c r="G16" s="108">
        <f>COUNTIF(REQUISITOS!F154:F169,"X")</f>
        <v>0</v>
      </c>
      <c r="H16" s="108">
        <f>COUNTIF(REQUISITOS!G154:G169,"X")</f>
        <v>0</v>
      </c>
      <c r="I16" s="143">
        <f>SUM(C16:H16)</f>
        <v>0</v>
      </c>
      <c r="AB16"/>
      <c r="AC16"/>
      <c r="AD16"/>
      <c r="AE16"/>
    </row>
    <row r="17" spans="2:31" ht="15.75" customHeight="1" thickBot="1" x14ac:dyDescent="0.3">
      <c r="B17" s="89" t="s">
        <v>46</v>
      </c>
      <c r="C17" s="130">
        <f>SUM(C12:C16)</f>
        <v>0</v>
      </c>
      <c r="D17" s="131">
        <f t="shared" ref="D17:H17" si="0">SUM(D12:D16)</f>
        <v>0</v>
      </c>
      <c r="E17" s="131">
        <f t="shared" si="0"/>
        <v>0</v>
      </c>
      <c r="F17" s="131">
        <f t="shared" si="0"/>
        <v>0</v>
      </c>
      <c r="G17" s="131">
        <f t="shared" si="0"/>
        <v>0</v>
      </c>
      <c r="H17" s="131">
        <f t="shared" si="0"/>
        <v>0</v>
      </c>
      <c r="I17" s="131">
        <f>SUM(I12:I16)-H17</f>
        <v>0</v>
      </c>
      <c r="AB17"/>
      <c r="AC17"/>
      <c r="AD17"/>
      <c r="AE17"/>
    </row>
    <row r="18" spans="2:31" ht="15.75" customHeight="1" thickBot="1" x14ac:dyDescent="0.3">
      <c r="B18" s="239" t="s">
        <v>89</v>
      </c>
      <c r="C18" s="240"/>
      <c r="D18" s="240"/>
      <c r="E18" s="240"/>
      <c r="F18" s="240"/>
      <c r="G18" s="240"/>
      <c r="H18" s="240"/>
      <c r="I18" s="241"/>
      <c r="AB18"/>
      <c r="AC18"/>
      <c r="AD18"/>
      <c r="AE18"/>
    </row>
    <row r="19" spans="2:31" ht="15.75" customHeight="1" thickBot="1" x14ac:dyDescent="0.3">
      <c r="B19" s="234">
        <f>IF(I17=0,0,(C17*C11+D17*D11+E17*E11+F17*F11+G17*G11)/I17)</f>
        <v>0</v>
      </c>
      <c r="C19" s="235"/>
      <c r="D19" s="235"/>
      <c r="E19" s="235"/>
      <c r="F19" s="235"/>
      <c r="G19" s="235"/>
      <c r="H19" s="235"/>
      <c r="I19" s="205"/>
      <c r="AB19"/>
      <c r="AC19"/>
      <c r="AD19"/>
      <c r="AE19"/>
    </row>
    <row r="24" spans="2:31" ht="15.75" customHeight="1" x14ac:dyDescent="0.25"/>
    <row r="26" spans="2:31" ht="15" customHeight="1" x14ac:dyDescent="0.25"/>
    <row r="42" spans="1:13" ht="15" customHeight="1" thickBot="1" x14ac:dyDescent="0.3">
      <c r="B42" s="34"/>
    </row>
    <row r="43" spans="1:13" ht="15" customHeight="1" x14ac:dyDescent="0.25">
      <c r="B43" s="316" t="s">
        <v>116</v>
      </c>
      <c r="C43" s="317"/>
      <c r="D43" s="317"/>
      <c r="E43" s="317"/>
      <c r="F43" s="317"/>
      <c r="G43" s="317"/>
      <c r="H43" s="317"/>
      <c r="I43" s="317"/>
      <c r="J43" s="317"/>
      <c r="K43" s="317"/>
      <c r="L43" s="317"/>
      <c r="M43" s="318"/>
    </row>
    <row r="44" spans="1:13" ht="15.75" customHeight="1" x14ac:dyDescent="0.25">
      <c r="A44"/>
      <c r="B44" s="319"/>
      <c r="C44" s="320"/>
      <c r="D44" s="320"/>
      <c r="E44" s="320"/>
      <c r="F44" s="320"/>
      <c r="G44" s="320"/>
      <c r="H44" s="320"/>
      <c r="I44" s="320"/>
      <c r="J44" s="320"/>
      <c r="K44" s="320"/>
      <c r="L44" s="320"/>
      <c r="M44" s="321"/>
    </row>
    <row r="45" spans="1:13" ht="15.75" customHeight="1" thickBot="1" x14ac:dyDescent="0.3">
      <c r="A45"/>
      <c r="B45" s="322"/>
      <c r="C45" s="323"/>
      <c r="D45" s="323"/>
      <c r="E45" s="323"/>
      <c r="F45" s="323"/>
      <c r="G45" s="323"/>
      <c r="H45" s="323"/>
      <c r="I45" s="323"/>
      <c r="J45" s="323"/>
      <c r="K45" s="323"/>
      <c r="L45" s="323"/>
      <c r="M45" s="324"/>
    </row>
    <row r="46" spans="1:13" x14ac:dyDescent="0.25">
      <c r="B46" s="325" t="str">
        <f>"Según se muestra en la tabla APOYO el porcentaje de implementación alcanzado es de "&amp;TEXT(B19,"0.00%")&amp;" "</f>
        <v xml:space="preserve">Según se muestra en la tabla APOYO el porcentaje de implementación alcanzado es de 0.00% </v>
      </c>
      <c r="C46" s="326"/>
      <c r="D46" s="326"/>
      <c r="E46" s="326"/>
      <c r="F46" s="326"/>
      <c r="G46" s="326"/>
      <c r="H46" s="326"/>
      <c r="I46" s="326"/>
      <c r="J46" s="326"/>
      <c r="K46" s="326"/>
      <c r="L46" s="326"/>
      <c r="M46" s="327"/>
    </row>
    <row r="47" spans="1:13" ht="17.25" customHeight="1" x14ac:dyDescent="0.25">
      <c r="B47" s="287" t="s">
        <v>347</v>
      </c>
      <c r="C47" s="288"/>
      <c r="D47" s="288"/>
      <c r="E47" s="288"/>
      <c r="F47" s="288"/>
      <c r="G47" s="288"/>
      <c r="H47" s="288"/>
      <c r="I47" s="288"/>
      <c r="J47" s="288"/>
      <c r="K47" s="288"/>
      <c r="L47" s="288"/>
      <c r="M47" s="289"/>
    </row>
    <row r="48" spans="1:13" x14ac:dyDescent="0.25">
      <c r="B48" s="287"/>
      <c r="C48" s="288"/>
      <c r="D48" s="288"/>
      <c r="E48" s="288"/>
      <c r="F48" s="288"/>
      <c r="G48" s="288"/>
      <c r="H48" s="288"/>
      <c r="I48" s="288"/>
      <c r="J48" s="288"/>
      <c r="K48" s="288"/>
      <c r="L48" s="288"/>
      <c r="M48" s="289"/>
    </row>
    <row r="49" spans="2:13" ht="31.5" customHeight="1" thickBot="1" x14ac:dyDescent="0.3">
      <c r="B49" s="313"/>
      <c r="C49" s="314"/>
      <c r="D49" s="314"/>
      <c r="E49" s="314"/>
      <c r="F49" s="314"/>
      <c r="G49" s="314"/>
      <c r="H49" s="314"/>
      <c r="I49" s="314"/>
      <c r="J49" s="314"/>
      <c r="K49" s="314"/>
      <c r="L49" s="314"/>
      <c r="M49" s="315"/>
    </row>
    <row r="50" spans="2:13" x14ac:dyDescent="0.25">
      <c r="B50" s="128"/>
      <c r="C50" s="128"/>
      <c r="D50" s="128"/>
      <c r="E50" s="128"/>
      <c r="F50" s="128"/>
      <c r="G50" s="128"/>
      <c r="H50" s="128"/>
      <c r="I50" s="128"/>
      <c r="J50" s="128"/>
      <c r="K50" s="128"/>
      <c r="L50" s="128"/>
      <c r="M50" s="128"/>
    </row>
  </sheetData>
  <mergeCells count="9">
    <mergeCell ref="B47:M49"/>
    <mergeCell ref="B19:I19"/>
    <mergeCell ref="B9:I9"/>
    <mergeCell ref="B18:I18"/>
    <mergeCell ref="B3:M4"/>
    <mergeCell ref="B5:F6"/>
    <mergeCell ref="G5:M6"/>
    <mergeCell ref="B43:M45"/>
    <mergeCell ref="B46:M46"/>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AG49"/>
  <sheetViews>
    <sheetView topLeftCell="A25" zoomScale="70" zoomScaleNormal="70" workbookViewId="0">
      <selection activeCell="B50" sqref="B50"/>
    </sheetView>
  </sheetViews>
  <sheetFormatPr defaultColWidth="11.42578125" defaultRowHeight="15" x14ac:dyDescent="0.25"/>
  <cols>
    <col min="1" max="1" width="11.42578125" style="38" customWidth="1"/>
    <col min="2" max="2" width="71" style="38" bestFit="1" customWidth="1"/>
    <col min="3" max="9" width="13.85546875" style="38" customWidth="1"/>
    <col min="10" max="16384" width="11.42578125" style="38"/>
  </cols>
  <sheetData>
    <row r="2" spans="2:33" ht="15.75" thickBot="1" x14ac:dyDescent="0.3"/>
    <row r="3" spans="2:33" ht="15" customHeight="1" x14ac:dyDescent="0.25">
      <c r="B3" s="243" t="s">
        <v>42</v>
      </c>
      <c r="C3" s="244"/>
      <c r="D3" s="244"/>
      <c r="E3" s="244"/>
      <c r="F3" s="244"/>
      <c r="G3" s="244"/>
      <c r="H3" s="244"/>
      <c r="I3" s="244"/>
      <c r="J3" s="244"/>
      <c r="K3" s="244"/>
      <c r="L3" s="245"/>
      <c r="M3"/>
      <c r="N3"/>
      <c r="O3"/>
      <c r="P3"/>
    </row>
    <row r="4" spans="2:33" ht="15.75" customHeight="1" thickBot="1" x14ac:dyDescent="0.3">
      <c r="B4" s="246"/>
      <c r="C4" s="247"/>
      <c r="D4" s="247"/>
      <c r="E4" s="247"/>
      <c r="F4" s="247"/>
      <c r="G4" s="247"/>
      <c r="H4" s="247"/>
      <c r="I4" s="247"/>
      <c r="J4" s="247"/>
      <c r="K4" s="247"/>
      <c r="L4" s="248"/>
      <c r="M4"/>
      <c r="N4"/>
      <c r="O4"/>
      <c r="P4"/>
    </row>
    <row r="5" spans="2:33" ht="15" customHeight="1" x14ac:dyDescent="0.25">
      <c r="B5" s="249" t="s">
        <v>113</v>
      </c>
      <c r="C5" s="250"/>
      <c r="D5" s="250"/>
      <c r="E5" s="250"/>
      <c r="F5" s="249" t="str">
        <f>IF(M9&lt;=24%,"INICIAL",IF(M9&lt;=49%,"NOVATO",IF(M9&lt;=74%,"COMPETENTE",IF(M9&lt;=99%,"AVANZADO","EXPERTO"))))</f>
        <v>INICIAL</v>
      </c>
      <c r="G5" s="250"/>
      <c r="H5" s="250"/>
      <c r="I5" s="250"/>
      <c r="J5" s="250"/>
      <c r="K5" s="250"/>
      <c r="L5" s="251"/>
      <c r="M5"/>
      <c r="N5"/>
      <c r="O5"/>
      <c r="P5"/>
    </row>
    <row r="6" spans="2:33" ht="15.75" customHeight="1" thickBot="1" x14ac:dyDescent="0.3">
      <c r="B6" s="252"/>
      <c r="C6" s="253"/>
      <c r="D6" s="253"/>
      <c r="E6" s="253"/>
      <c r="F6" s="252"/>
      <c r="G6" s="253"/>
      <c r="H6" s="253"/>
      <c r="I6" s="253"/>
      <c r="J6" s="253"/>
      <c r="K6" s="253"/>
      <c r="L6" s="254"/>
      <c r="M6"/>
      <c r="N6"/>
      <c r="O6"/>
      <c r="P6"/>
    </row>
    <row r="7" spans="2:33" ht="15.75" customHeight="1" thickBot="1" x14ac:dyDescent="0.3"/>
    <row r="8" spans="2:33" ht="15.75" customHeight="1" thickBot="1" x14ac:dyDescent="0.3">
      <c r="B8" s="236" t="s">
        <v>66</v>
      </c>
      <c r="C8" s="237"/>
      <c r="D8" s="237"/>
      <c r="E8" s="237"/>
      <c r="F8" s="237"/>
      <c r="G8" s="237"/>
      <c r="H8" s="237"/>
      <c r="I8" s="238"/>
    </row>
    <row r="9" spans="2:33" ht="27.75" customHeight="1" thickBot="1" x14ac:dyDescent="0.3">
      <c r="B9" s="98"/>
      <c r="C9" s="123" t="s">
        <v>80</v>
      </c>
      <c r="D9" s="124" t="s">
        <v>81</v>
      </c>
      <c r="E9" s="124" t="s">
        <v>82</v>
      </c>
      <c r="F9" s="125" t="s">
        <v>83</v>
      </c>
      <c r="G9" s="124" t="s">
        <v>84</v>
      </c>
      <c r="H9" s="126" t="s">
        <v>9</v>
      </c>
      <c r="I9" s="99"/>
      <c r="AA9"/>
      <c r="AB9"/>
      <c r="AC9"/>
      <c r="AD9"/>
      <c r="AE9"/>
      <c r="AF9"/>
      <c r="AG9"/>
    </row>
    <row r="10" spans="2:33" ht="15.75" customHeight="1" thickBot="1" x14ac:dyDescent="0.3">
      <c r="B10" s="11" t="s">
        <v>45</v>
      </c>
      <c r="C10" s="11">
        <v>0</v>
      </c>
      <c r="D10" s="11">
        <v>0.25</v>
      </c>
      <c r="E10" s="11">
        <v>0.5</v>
      </c>
      <c r="F10" s="11">
        <v>0.75</v>
      </c>
      <c r="G10" s="11">
        <v>1</v>
      </c>
      <c r="H10" s="12" t="s">
        <v>8</v>
      </c>
      <c r="I10" s="13" t="s">
        <v>46</v>
      </c>
      <c r="AA10"/>
      <c r="AB10"/>
      <c r="AC10"/>
      <c r="AD10"/>
      <c r="AE10"/>
      <c r="AF10"/>
      <c r="AG10"/>
    </row>
    <row r="11" spans="2:33" ht="15.75" customHeight="1" x14ac:dyDescent="0.25">
      <c r="B11" s="27" t="s">
        <v>35</v>
      </c>
      <c r="C11" s="153">
        <f>COUNTIF(REQUISITOS!B173:B182,"X")</f>
        <v>0</v>
      </c>
      <c r="D11" s="153">
        <f>COUNTIF(REQUISITOS!C173:C182,"X")</f>
        <v>0</v>
      </c>
      <c r="E11" s="153">
        <f>COUNTIF(REQUISITOS!D173:D182,"X")</f>
        <v>0</v>
      </c>
      <c r="F11" s="153">
        <f>COUNTIF(REQUISITOS!E173:E182,"X")</f>
        <v>0</v>
      </c>
      <c r="G11" s="153">
        <f>COUNTIF(REQUISITOS!F173:F182,"X")</f>
        <v>0</v>
      </c>
      <c r="H11" s="153">
        <f>COUNTIF(REQUISITOS!G173:G182,"X")</f>
        <v>0</v>
      </c>
      <c r="I11" s="148">
        <f t="shared" ref="I11:I12" si="0">SUM(C11:H11)</f>
        <v>0</v>
      </c>
      <c r="AA11"/>
      <c r="AB11"/>
      <c r="AC11"/>
      <c r="AD11"/>
      <c r="AE11"/>
      <c r="AF11"/>
      <c r="AG11"/>
    </row>
    <row r="12" spans="2:33" ht="15.75" customHeight="1" thickBot="1" x14ac:dyDescent="0.3">
      <c r="B12" s="26" t="s">
        <v>269</v>
      </c>
      <c r="C12" s="106">
        <f>COUNTIF(REQUISITOS!B185:B191,"X")</f>
        <v>0</v>
      </c>
      <c r="D12" s="106">
        <f>COUNTIF(REQUISITOS!C185:C191,"X")</f>
        <v>0</v>
      </c>
      <c r="E12" s="106">
        <f>COUNTIF(REQUISITOS!D185:D191,"X")</f>
        <v>0</v>
      </c>
      <c r="F12" s="106">
        <f>COUNTIF(REQUISITOS!E185:E191,"X")</f>
        <v>0</v>
      </c>
      <c r="G12" s="106">
        <f>COUNTIF(REQUISITOS!F185:F191,"X")</f>
        <v>0</v>
      </c>
      <c r="H12" s="106">
        <f>COUNTIF(REQUISITOS!G185:G191,"X")</f>
        <v>0</v>
      </c>
      <c r="I12" s="149">
        <f t="shared" si="0"/>
        <v>0</v>
      </c>
      <c r="AA12"/>
      <c r="AB12"/>
      <c r="AC12"/>
      <c r="AD12"/>
      <c r="AE12"/>
      <c r="AF12"/>
      <c r="AG12"/>
    </row>
    <row r="13" spans="2:33" ht="15.75" customHeight="1" thickBot="1" x14ac:dyDescent="0.3">
      <c r="B13" s="89" t="s">
        <v>46</v>
      </c>
      <c r="C13" s="130">
        <f t="shared" ref="C13:H13" si="1">SUM(C11:C12)</f>
        <v>0</v>
      </c>
      <c r="D13" s="130">
        <f t="shared" si="1"/>
        <v>0</v>
      </c>
      <c r="E13" s="130">
        <f t="shared" si="1"/>
        <v>0</v>
      </c>
      <c r="F13" s="130">
        <f t="shared" si="1"/>
        <v>0</v>
      </c>
      <c r="G13" s="130">
        <f t="shared" si="1"/>
        <v>0</v>
      </c>
      <c r="H13" s="130">
        <f t="shared" si="1"/>
        <v>0</v>
      </c>
      <c r="I13" s="131">
        <f>SUM(I11:I12)-H13</f>
        <v>0</v>
      </c>
      <c r="AA13"/>
      <c r="AB13"/>
      <c r="AC13"/>
      <c r="AD13"/>
      <c r="AE13"/>
      <c r="AF13"/>
      <c r="AG13"/>
    </row>
    <row r="14" spans="2:33" ht="15.75" customHeight="1" thickBot="1" x14ac:dyDescent="0.3">
      <c r="B14" s="239" t="s">
        <v>90</v>
      </c>
      <c r="C14" s="240"/>
      <c r="D14" s="240"/>
      <c r="E14" s="240"/>
      <c r="F14" s="240"/>
      <c r="G14" s="240"/>
      <c r="H14" s="240"/>
      <c r="I14" s="241"/>
      <c r="AA14"/>
      <c r="AB14"/>
      <c r="AC14"/>
      <c r="AD14"/>
      <c r="AE14"/>
      <c r="AF14"/>
      <c r="AG14"/>
    </row>
    <row r="15" spans="2:33" ht="15.75" customHeight="1" thickBot="1" x14ac:dyDescent="0.3">
      <c r="B15" s="234">
        <f>IF(I13=0,0,(C13*C10+D13*D10+E13*E10+F13*F10+G13*G10)/I13)</f>
        <v>0</v>
      </c>
      <c r="C15" s="235"/>
      <c r="D15" s="235"/>
      <c r="E15" s="235"/>
      <c r="F15" s="235"/>
      <c r="G15" s="235"/>
      <c r="H15" s="235"/>
      <c r="I15" s="205"/>
    </row>
    <row r="19" ht="15.75" customHeight="1" x14ac:dyDescent="0.25"/>
    <row r="21" ht="15" customHeight="1" x14ac:dyDescent="0.25"/>
    <row r="42" spans="2:13" ht="15.75" thickBot="1" x14ac:dyDescent="0.3"/>
    <row r="43" spans="2:13" ht="15" customHeight="1" x14ac:dyDescent="0.25">
      <c r="B43" s="316" t="s">
        <v>116</v>
      </c>
      <c r="C43" s="317"/>
      <c r="D43" s="317"/>
      <c r="E43" s="317"/>
      <c r="F43" s="317"/>
      <c r="G43" s="317"/>
      <c r="H43" s="317"/>
      <c r="I43" s="317"/>
      <c r="J43" s="317"/>
      <c r="K43" s="317"/>
      <c r="L43" s="318"/>
      <c r="M43"/>
    </row>
    <row r="44" spans="2:13" ht="15" customHeight="1" x14ac:dyDescent="0.25">
      <c r="B44" s="319"/>
      <c r="C44" s="320"/>
      <c r="D44" s="320"/>
      <c r="E44" s="320"/>
      <c r="F44" s="320"/>
      <c r="G44" s="320"/>
      <c r="H44" s="320"/>
      <c r="I44" s="320"/>
      <c r="J44" s="320"/>
      <c r="K44" s="320"/>
      <c r="L44" s="321"/>
      <c r="M44"/>
    </row>
    <row r="45" spans="2:13" ht="15.75" customHeight="1" thickBot="1" x14ac:dyDescent="0.3">
      <c r="B45" s="322"/>
      <c r="C45" s="323"/>
      <c r="D45" s="323"/>
      <c r="E45" s="323"/>
      <c r="F45" s="323"/>
      <c r="G45" s="323"/>
      <c r="H45" s="323"/>
      <c r="I45" s="323"/>
      <c r="J45" s="323"/>
      <c r="K45" s="323"/>
      <c r="L45" s="324"/>
      <c r="M45"/>
    </row>
    <row r="46" spans="2:13" ht="27" customHeight="1" x14ac:dyDescent="0.25">
      <c r="B46" s="328" t="str">
        <f>"Según se muestra en la Tabla OPERACIÓN el porcentaje de implementación alcanzado es de "&amp;TEXT(B15,"0.00%")&amp;""</f>
        <v>Según se muestra en la Tabla OPERACIÓN el porcentaje de implementación alcanzado es de 0.00%</v>
      </c>
      <c r="C46" s="329"/>
      <c r="D46" s="329"/>
      <c r="E46" s="329"/>
      <c r="F46" s="329"/>
      <c r="G46" s="329"/>
      <c r="H46" s="329"/>
      <c r="I46" s="329"/>
      <c r="J46" s="329"/>
      <c r="K46" s="329"/>
      <c r="L46" s="330"/>
    </row>
    <row r="47" spans="2:13" ht="15.75" customHeight="1" x14ac:dyDescent="0.25">
      <c r="B47" s="287" t="s">
        <v>348</v>
      </c>
      <c r="C47" s="288"/>
      <c r="D47" s="288"/>
      <c r="E47" s="288"/>
      <c r="F47" s="288"/>
      <c r="G47" s="288"/>
      <c r="H47" s="288"/>
      <c r="I47" s="288"/>
      <c r="J47" s="288"/>
      <c r="K47" s="288"/>
      <c r="L47" s="289"/>
    </row>
    <row r="48" spans="2:13" x14ac:dyDescent="0.25">
      <c r="B48" s="287"/>
      <c r="C48" s="288"/>
      <c r="D48" s="288"/>
      <c r="E48" s="288"/>
      <c r="F48" s="288"/>
      <c r="G48" s="288"/>
      <c r="H48" s="288"/>
      <c r="I48" s="288"/>
      <c r="J48" s="288"/>
      <c r="K48" s="288"/>
      <c r="L48" s="289"/>
    </row>
    <row r="49" spans="2:12" ht="33" customHeight="1" thickBot="1" x14ac:dyDescent="0.3">
      <c r="B49" s="313"/>
      <c r="C49" s="314"/>
      <c r="D49" s="314"/>
      <c r="E49" s="314"/>
      <c r="F49" s="314"/>
      <c r="G49" s="314"/>
      <c r="H49" s="314"/>
      <c r="I49" s="314"/>
      <c r="J49" s="314"/>
      <c r="K49" s="314"/>
      <c r="L49" s="315"/>
    </row>
  </sheetData>
  <mergeCells count="9">
    <mergeCell ref="B47:L49"/>
    <mergeCell ref="B14:I14"/>
    <mergeCell ref="B15:I15"/>
    <mergeCell ref="B8:I8"/>
    <mergeCell ref="B3:L4"/>
    <mergeCell ref="B5:E6"/>
    <mergeCell ref="F5:L6"/>
    <mergeCell ref="B43:L45"/>
    <mergeCell ref="B46:L46"/>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AJ48"/>
  <sheetViews>
    <sheetView topLeftCell="A22" zoomScale="70" zoomScaleNormal="70" workbookViewId="0">
      <selection activeCell="B49" sqref="B49"/>
    </sheetView>
  </sheetViews>
  <sheetFormatPr defaultColWidth="11.42578125" defaultRowHeight="15" x14ac:dyDescent="0.25"/>
  <cols>
    <col min="1" max="1" width="11.42578125" style="38" customWidth="1"/>
    <col min="2" max="2" width="48.28515625" style="38" customWidth="1"/>
    <col min="3" max="8" width="14.7109375" style="38" customWidth="1"/>
    <col min="9" max="16384" width="11.42578125" style="38"/>
  </cols>
  <sheetData>
    <row r="2" spans="2:36" ht="15.75" thickBot="1" x14ac:dyDescent="0.3"/>
    <row r="3" spans="2:36" ht="15" customHeight="1" x14ac:dyDescent="0.25">
      <c r="B3" s="243" t="s">
        <v>42</v>
      </c>
      <c r="C3" s="244"/>
      <c r="D3" s="244"/>
      <c r="E3" s="244"/>
      <c r="F3" s="244"/>
      <c r="G3" s="244"/>
      <c r="H3" s="244"/>
      <c r="I3" s="244"/>
      <c r="J3" s="244"/>
      <c r="K3" s="244"/>
      <c r="L3" s="245"/>
      <c r="M3"/>
      <c r="N3"/>
      <c r="O3"/>
      <c r="P3"/>
    </row>
    <row r="4" spans="2:36" ht="15.75" customHeight="1" thickBot="1" x14ac:dyDescent="0.3">
      <c r="B4" s="246"/>
      <c r="C4" s="247"/>
      <c r="D4" s="247"/>
      <c r="E4" s="247"/>
      <c r="F4" s="247"/>
      <c r="G4" s="247"/>
      <c r="H4" s="247"/>
      <c r="I4" s="247"/>
      <c r="J4" s="247"/>
      <c r="K4" s="247"/>
      <c r="L4" s="248"/>
      <c r="M4"/>
      <c r="N4"/>
      <c r="O4"/>
      <c r="P4"/>
    </row>
    <row r="5" spans="2:36" ht="15" customHeight="1" x14ac:dyDescent="0.25">
      <c r="B5" s="249" t="s">
        <v>113</v>
      </c>
      <c r="C5" s="250"/>
      <c r="D5" s="250"/>
      <c r="E5" s="250"/>
      <c r="F5" s="250"/>
      <c r="G5" s="249" t="str">
        <f>IF(M9&lt;=24%,"INICIAL",IF(M9&lt;=49%,"NOVATO",IF(M9&lt;=74%,"COMPETENTE",IF(M9&lt;=99%,"AVANZADO","EXPERTO"))))</f>
        <v>INICIAL</v>
      </c>
      <c r="H5" s="250"/>
      <c r="I5" s="250"/>
      <c r="J5" s="250"/>
      <c r="K5" s="250"/>
      <c r="L5" s="251"/>
      <c r="M5"/>
      <c r="N5"/>
      <c r="O5"/>
      <c r="P5"/>
    </row>
    <row r="6" spans="2:36" ht="15.75" customHeight="1" thickBot="1" x14ac:dyDescent="0.3">
      <c r="B6" s="252"/>
      <c r="C6" s="253"/>
      <c r="D6" s="253"/>
      <c r="E6" s="253"/>
      <c r="F6" s="253"/>
      <c r="G6" s="252"/>
      <c r="H6" s="253"/>
      <c r="I6" s="253"/>
      <c r="J6" s="253"/>
      <c r="K6" s="253"/>
      <c r="L6" s="254"/>
      <c r="M6"/>
      <c r="N6"/>
      <c r="O6"/>
      <c r="P6"/>
    </row>
    <row r="9" spans="2:36" ht="15.75" customHeight="1" thickBot="1" x14ac:dyDescent="0.3"/>
    <row r="10" spans="2:36" ht="15.75" customHeight="1" thickBot="1" x14ac:dyDescent="0.3">
      <c r="B10" s="236" t="s">
        <v>91</v>
      </c>
      <c r="C10" s="237"/>
      <c r="D10" s="237"/>
      <c r="E10" s="237"/>
      <c r="F10" s="237"/>
      <c r="G10" s="237"/>
      <c r="H10" s="237"/>
      <c r="I10" s="238"/>
    </row>
    <row r="11" spans="2:36" ht="27.75" customHeight="1" thickBot="1" x14ac:dyDescent="0.3">
      <c r="B11" s="98"/>
      <c r="C11" s="123" t="s">
        <v>80</v>
      </c>
      <c r="D11" s="124" t="s">
        <v>81</v>
      </c>
      <c r="E11" s="124" t="s">
        <v>82</v>
      </c>
      <c r="F11" s="125" t="s">
        <v>83</v>
      </c>
      <c r="G11" s="124" t="s">
        <v>84</v>
      </c>
      <c r="H11" s="126" t="s">
        <v>9</v>
      </c>
      <c r="I11" s="99"/>
      <c r="AA11"/>
      <c r="AB11"/>
      <c r="AC11"/>
      <c r="AD11"/>
      <c r="AE11"/>
      <c r="AF11"/>
      <c r="AG11"/>
      <c r="AH11"/>
      <c r="AI11"/>
      <c r="AJ11"/>
    </row>
    <row r="12" spans="2:36" ht="15.75" customHeight="1" thickBot="1" x14ac:dyDescent="0.3">
      <c r="B12" s="86" t="s">
        <v>45</v>
      </c>
      <c r="C12" s="140">
        <v>0</v>
      </c>
      <c r="D12" s="140">
        <v>0.25</v>
      </c>
      <c r="E12" s="140">
        <v>0.5</v>
      </c>
      <c r="F12" s="140">
        <v>0.75</v>
      </c>
      <c r="G12" s="140">
        <v>1</v>
      </c>
      <c r="H12" s="141" t="s">
        <v>8</v>
      </c>
      <c r="I12" s="88" t="s">
        <v>46</v>
      </c>
      <c r="AA12"/>
      <c r="AB12"/>
      <c r="AC12"/>
      <c r="AD12"/>
      <c r="AE12"/>
      <c r="AF12"/>
      <c r="AG12"/>
      <c r="AH12"/>
      <c r="AI12"/>
      <c r="AJ12"/>
    </row>
    <row r="13" spans="2:36" x14ac:dyDescent="0.25">
      <c r="B13" s="27" t="s">
        <v>37</v>
      </c>
      <c r="C13" s="142">
        <f>COUNTIF(REQUISITOS!B196:B210,"X")</f>
        <v>0</v>
      </c>
      <c r="D13" s="142">
        <f>COUNTIF(REQUISITOS!C196:C210,"X")</f>
        <v>0</v>
      </c>
      <c r="E13" s="142">
        <f>COUNTIF(REQUISITOS!D196:D210,"X")</f>
        <v>0</v>
      </c>
      <c r="F13" s="142">
        <f>COUNTIF(REQUISITOS!E196:E210,"X")</f>
        <v>0</v>
      </c>
      <c r="G13" s="142">
        <f>COUNTIF(REQUISITOS!F196:F210,"X")</f>
        <v>0</v>
      </c>
      <c r="H13" s="142">
        <f>COUNTIF(REQUISITOS!G196:G210,"X")</f>
        <v>0</v>
      </c>
      <c r="I13" s="148">
        <f>SUM(C13:H13)</f>
        <v>0</v>
      </c>
      <c r="AA13"/>
      <c r="AB13"/>
      <c r="AC13"/>
      <c r="AD13"/>
      <c r="AE13"/>
      <c r="AF13"/>
      <c r="AG13"/>
      <c r="AH13"/>
      <c r="AI13"/>
      <c r="AJ13"/>
    </row>
    <row r="14" spans="2:36" x14ac:dyDescent="0.25">
      <c r="B14" s="26" t="s">
        <v>38</v>
      </c>
      <c r="C14" s="110">
        <f>COUNTIF(REQUISITOS!B213:B224,"X")</f>
        <v>0</v>
      </c>
      <c r="D14" s="110">
        <f>COUNTIF(REQUISITOS!C213:C224,"X")</f>
        <v>0</v>
      </c>
      <c r="E14" s="110">
        <f>COUNTIF(REQUISITOS!D213:D224,"X")</f>
        <v>0</v>
      </c>
      <c r="F14" s="110">
        <f>COUNTIF(REQUISITOS!E213:E224,"X")</f>
        <v>0</v>
      </c>
      <c r="G14" s="110">
        <f>COUNTIF(REQUISITOS!F213:F224,"X")</f>
        <v>0</v>
      </c>
      <c r="H14" s="110">
        <f>COUNTIF(REQUISITOS!G213:G224,"X")</f>
        <v>0</v>
      </c>
      <c r="I14" s="149">
        <f>SUM(C14:H14)</f>
        <v>0</v>
      </c>
      <c r="AA14"/>
      <c r="AB14"/>
      <c r="AC14"/>
      <c r="AD14"/>
      <c r="AE14"/>
      <c r="AF14"/>
      <c r="AG14"/>
      <c r="AH14"/>
      <c r="AI14"/>
      <c r="AJ14"/>
    </row>
    <row r="15" spans="2:36" ht="15.75" customHeight="1" thickBot="1" x14ac:dyDescent="0.3">
      <c r="B15" s="26" t="s">
        <v>39</v>
      </c>
      <c r="C15" s="110">
        <f>COUNTIF(REQUISITOS!B227:B248,"X")</f>
        <v>0</v>
      </c>
      <c r="D15" s="110">
        <f>COUNTIF(REQUISITOS!C227:C248,"X")</f>
        <v>0</v>
      </c>
      <c r="E15" s="110">
        <f>COUNTIF(REQUISITOS!D227:D248,"X")</f>
        <v>0</v>
      </c>
      <c r="F15" s="110">
        <f>COUNTIF(REQUISITOS!E227:E248,"X")</f>
        <v>0</v>
      </c>
      <c r="G15" s="110">
        <f>COUNTIF(REQUISITOS!F227:F248,"X")</f>
        <v>0</v>
      </c>
      <c r="H15" s="110">
        <f>COUNTIF(REQUISITOS!G227:G248,"X")</f>
        <v>0</v>
      </c>
      <c r="I15" s="150">
        <f>SUM(C15:H15)</f>
        <v>0</v>
      </c>
      <c r="AA15"/>
      <c r="AB15"/>
      <c r="AC15"/>
      <c r="AD15"/>
      <c r="AE15"/>
      <c r="AF15"/>
      <c r="AG15"/>
      <c r="AH15"/>
      <c r="AI15"/>
      <c r="AJ15"/>
    </row>
    <row r="16" spans="2:36" ht="15.75" customHeight="1" thickBot="1" x14ac:dyDescent="0.3">
      <c r="B16" s="89" t="s">
        <v>46</v>
      </c>
      <c r="C16" s="130">
        <f t="shared" ref="C16:H16" si="0">SUM(C13:C15)</f>
        <v>0</v>
      </c>
      <c r="D16" s="130">
        <f t="shared" si="0"/>
        <v>0</v>
      </c>
      <c r="E16" s="130">
        <f t="shared" si="0"/>
        <v>0</v>
      </c>
      <c r="F16" s="130">
        <f t="shared" si="0"/>
        <v>0</v>
      </c>
      <c r="G16" s="130">
        <f t="shared" si="0"/>
        <v>0</v>
      </c>
      <c r="H16" s="130">
        <f t="shared" si="0"/>
        <v>0</v>
      </c>
      <c r="I16" s="131">
        <f>SUM(I13:I15)-H16</f>
        <v>0</v>
      </c>
      <c r="AA16"/>
      <c r="AB16"/>
      <c r="AC16"/>
      <c r="AD16"/>
      <c r="AE16"/>
      <c r="AF16"/>
      <c r="AG16"/>
      <c r="AH16"/>
      <c r="AI16"/>
      <c r="AJ16"/>
    </row>
    <row r="17" spans="2:36" ht="15.75" customHeight="1" thickBot="1" x14ac:dyDescent="0.3">
      <c r="B17" s="239" t="s">
        <v>92</v>
      </c>
      <c r="C17" s="240"/>
      <c r="D17" s="240"/>
      <c r="E17" s="240"/>
      <c r="F17" s="240"/>
      <c r="G17" s="240"/>
      <c r="H17" s="240"/>
      <c r="I17" s="241"/>
      <c r="AA17"/>
      <c r="AB17"/>
      <c r="AC17"/>
      <c r="AD17"/>
      <c r="AE17"/>
      <c r="AF17"/>
      <c r="AG17"/>
      <c r="AH17"/>
      <c r="AI17"/>
      <c r="AJ17"/>
    </row>
    <row r="18" spans="2:36" ht="15.75" customHeight="1" thickBot="1" x14ac:dyDescent="0.3">
      <c r="B18" s="234">
        <f>IF(I16=0,0,(C16*C12+D16*D12+E16*E12+F16*F12+G16*G12)/I16)</f>
        <v>0</v>
      </c>
      <c r="C18" s="235"/>
      <c r="D18" s="235"/>
      <c r="E18" s="235"/>
      <c r="F18" s="235"/>
      <c r="G18" s="235"/>
      <c r="H18" s="235"/>
      <c r="I18" s="205"/>
      <c r="AA18"/>
      <c r="AB18"/>
      <c r="AC18"/>
      <c r="AD18"/>
      <c r="AE18"/>
      <c r="AF18"/>
      <c r="AG18"/>
      <c r="AH18"/>
      <c r="AI18"/>
      <c r="AJ18"/>
    </row>
    <row r="19" spans="2:36" x14ac:dyDescent="0.25">
      <c r="AA19"/>
      <c r="AB19"/>
      <c r="AC19"/>
      <c r="AD19"/>
      <c r="AE19"/>
      <c r="AF19"/>
      <c r="AG19"/>
      <c r="AH19"/>
      <c r="AI19"/>
      <c r="AJ19"/>
    </row>
    <row r="20" spans="2:36" x14ac:dyDescent="0.25">
      <c r="AA20"/>
      <c r="AB20"/>
      <c r="AC20"/>
      <c r="AD20"/>
      <c r="AE20"/>
      <c r="AF20"/>
      <c r="AG20"/>
      <c r="AH20"/>
      <c r="AI20"/>
      <c r="AJ20"/>
    </row>
    <row r="21" spans="2:36" x14ac:dyDescent="0.25">
      <c r="AA21"/>
      <c r="AB21"/>
      <c r="AC21"/>
      <c r="AD21"/>
      <c r="AE21"/>
      <c r="AF21"/>
      <c r="AG21"/>
      <c r="AH21"/>
      <c r="AI21"/>
      <c r="AJ21"/>
    </row>
    <row r="26" spans="2:36" ht="15.75" customHeight="1" x14ac:dyDescent="0.25"/>
    <row r="28" spans="2:36" ht="15" customHeight="1" x14ac:dyDescent="0.25"/>
    <row r="38" spans="2:12" ht="15.75" x14ac:dyDescent="0.25">
      <c r="B38" s="34"/>
    </row>
    <row r="41" spans="2:12" ht="15" customHeight="1" thickBot="1" x14ac:dyDescent="0.3"/>
    <row r="42" spans="2:12" ht="15" customHeight="1" x14ac:dyDescent="0.25">
      <c r="B42" s="316" t="s">
        <v>116</v>
      </c>
      <c r="C42" s="317"/>
      <c r="D42" s="317"/>
      <c r="E42" s="317"/>
      <c r="F42" s="317"/>
      <c r="G42" s="317"/>
      <c r="H42" s="317"/>
      <c r="I42" s="317"/>
      <c r="J42" s="317"/>
      <c r="K42" s="317"/>
      <c r="L42" s="318"/>
    </row>
    <row r="43" spans="2:12" ht="15.75" customHeight="1" x14ac:dyDescent="0.25">
      <c r="B43" s="319"/>
      <c r="C43" s="320"/>
      <c r="D43" s="320"/>
      <c r="E43" s="320"/>
      <c r="F43" s="320"/>
      <c r="G43" s="320"/>
      <c r="H43" s="320"/>
      <c r="I43" s="320"/>
      <c r="J43" s="320"/>
      <c r="K43" s="320"/>
      <c r="L43" s="321"/>
    </row>
    <row r="44" spans="2:12" ht="15.75" thickBot="1" x14ac:dyDescent="0.3">
      <c r="B44" s="322"/>
      <c r="C44" s="323"/>
      <c r="D44" s="323"/>
      <c r="E44" s="323"/>
      <c r="F44" s="323"/>
      <c r="G44" s="323"/>
      <c r="H44" s="323"/>
      <c r="I44" s="323"/>
      <c r="J44" s="323"/>
      <c r="K44" s="323"/>
      <c r="L44" s="324"/>
    </row>
    <row r="45" spans="2:12" ht="22.5" customHeight="1" x14ac:dyDescent="0.25">
      <c r="B45" s="328" t="str">
        <f>"Según se muestra en la Tabla  Evaluación del Desempeño el porcentaje de implementación alcanzado es de "&amp;TEXT(B18,"0.00%")&amp;" "</f>
        <v xml:space="preserve">Según se muestra en la Tabla  Evaluación del Desempeño el porcentaje de implementación alcanzado es de 0.00% </v>
      </c>
      <c r="C45" s="329"/>
      <c r="D45" s="329"/>
      <c r="E45" s="329"/>
      <c r="F45" s="329"/>
      <c r="G45" s="329"/>
      <c r="H45" s="329"/>
      <c r="I45" s="329"/>
      <c r="J45" s="329"/>
      <c r="K45" s="329"/>
      <c r="L45" s="330"/>
    </row>
    <row r="46" spans="2:12" ht="15.75" customHeight="1" x14ac:dyDescent="0.25">
      <c r="B46" s="287" t="s">
        <v>349</v>
      </c>
      <c r="C46" s="288"/>
      <c r="D46" s="288"/>
      <c r="E46" s="288"/>
      <c r="F46" s="288"/>
      <c r="G46" s="288"/>
      <c r="H46" s="288"/>
      <c r="I46" s="288"/>
      <c r="J46" s="288"/>
      <c r="K46" s="288"/>
      <c r="L46" s="289"/>
    </row>
    <row r="47" spans="2:12" x14ac:dyDescent="0.25">
      <c r="B47" s="287"/>
      <c r="C47" s="288"/>
      <c r="D47" s="288"/>
      <c r="E47" s="288"/>
      <c r="F47" s="288"/>
      <c r="G47" s="288"/>
      <c r="H47" s="288"/>
      <c r="I47" s="288"/>
      <c r="J47" s="288"/>
      <c r="K47" s="288"/>
      <c r="L47" s="289"/>
    </row>
    <row r="48" spans="2:12" ht="15.75" thickBot="1" x14ac:dyDescent="0.3">
      <c r="B48" s="313"/>
      <c r="C48" s="314"/>
      <c r="D48" s="314"/>
      <c r="E48" s="314"/>
      <c r="F48" s="314"/>
      <c r="G48" s="314"/>
      <c r="H48" s="314"/>
      <c r="I48" s="314"/>
      <c r="J48" s="314"/>
      <c r="K48" s="314"/>
      <c r="L48" s="315"/>
    </row>
  </sheetData>
  <mergeCells count="9">
    <mergeCell ref="B46:L48"/>
    <mergeCell ref="B18:I18"/>
    <mergeCell ref="B10:I10"/>
    <mergeCell ref="B17:I17"/>
    <mergeCell ref="B3:L4"/>
    <mergeCell ref="B5:F6"/>
    <mergeCell ref="G5:L6"/>
    <mergeCell ref="B42:L44"/>
    <mergeCell ref="B45:L45"/>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AF48"/>
  <sheetViews>
    <sheetView zoomScale="70" zoomScaleNormal="70" workbookViewId="0">
      <selection activeCell="D51" sqref="D51"/>
    </sheetView>
  </sheetViews>
  <sheetFormatPr defaultColWidth="11.42578125" defaultRowHeight="15" x14ac:dyDescent="0.25"/>
  <cols>
    <col min="1" max="1" width="11.42578125" style="38" customWidth="1"/>
    <col min="2" max="2" width="37.28515625" style="38" customWidth="1"/>
    <col min="3" max="3" width="15.7109375" style="38" bestFit="1" customWidth="1"/>
    <col min="4" max="4" width="13.42578125" style="38" bestFit="1" customWidth="1"/>
    <col min="5" max="5" width="15" style="38" bestFit="1" customWidth="1"/>
    <col min="6" max="7" width="11.5703125" style="38" bestFit="1" customWidth="1"/>
    <col min="8" max="8" width="9.140625" style="38" customWidth="1"/>
    <col min="9" max="16384" width="11.42578125" style="38"/>
  </cols>
  <sheetData>
    <row r="2" spans="2:32" ht="15.75" thickBot="1" x14ac:dyDescent="0.3"/>
    <row r="3" spans="2:32" ht="15" customHeight="1" x14ac:dyDescent="0.25">
      <c r="B3" s="243" t="s">
        <v>42</v>
      </c>
      <c r="C3" s="244"/>
      <c r="D3" s="244"/>
      <c r="E3" s="244"/>
      <c r="F3" s="244"/>
      <c r="G3" s="244"/>
      <c r="H3" s="244"/>
      <c r="I3" s="244"/>
      <c r="J3" s="244"/>
      <c r="K3" s="244"/>
      <c r="L3" s="244"/>
      <c r="M3" s="244"/>
      <c r="N3" s="245"/>
      <c r="O3"/>
      <c r="P3"/>
    </row>
    <row r="4" spans="2:32" ht="15.75" customHeight="1" thickBot="1" x14ac:dyDescent="0.3">
      <c r="B4" s="246"/>
      <c r="C4" s="247"/>
      <c r="D4" s="247"/>
      <c r="E4" s="247"/>
      <c r="F4" s="247"/>
      <c r="G4" s="247"/>
      <c r="H4" s="247"/>
      <c r="I4" s="247"/>
      <c r="J4" s="247"/>
      <c r="K4" s="247"/>
      <c r="L4" s="247"/>
      <c r="M4" s="247"/>
      <c r="N4" s="248"/>
      <c r="O4"/>
      <c r="P4"/>
    </row>
    <row r="5" spans="2:32" ht="15" customHeight="1" x14ac:dyDescent="0.25">
      <c r="B5" s="249" t="s">
        <v>113</v>
      </c>
      <c r="C5" s="250"/>
      <c r="D5" s="250"/>
      <c r="E5" s="250"/>
      <c r="F5" s="250"/>
      <c r="G5" s="250"/>
      <c r="H5" s="249" t="str">
        <f>IF(M9&lt;=24%,"INICIAL",IF(M9&lt;=49%,"NOVATO",IF(M9&lt;=74%,"COMPETENTE",IF(M9&lt;=99%,"AVANZADO","EXPERTO"))))</f>
        <v>INICIAL</v>
      </c>
      <c r="I5" s="250"/>
      <c r="J5" s="250"/>
      <c r="K5" s="250"/>
      <c r="L5" s="250"/>
      <c r="M5" s="250"/>
      <c r="N5" s="251"/>
      <c r="O5"/>
      <c r="P5"/>
    </row>
    <row r="6" spans="2:32" ht="15.75" customHeight="1" thickBot="1" x14ac:dyDescent="0.3">
      <c r="B6" s="252"/>
      <c r="C6" s="253"/>
      <c r="D6" s="253"/>
      <c r="E6" s="253"/>
      <c r="F6" s="253"/>
      <c r="G6" s="253"/>
      <c r="H6" s="252"/>
      <c r="I6" s="253"/>
      <c r="J6" s="253"/>
      <c r="K6" s="253"/>
      <c r="L6" s="253"/>
      <c r="M6" s="253"/>
      <c r="N6" s="254"/>
      <c r="O6"/>
      <c r="P6"/>
    </row>
    <row r="8" spans="2:32" ht="15.75" customHeight="1" thickBot="1" x14ac:dyDescent="0.3"/>
    <row r="9" spans="2:32" ht="15.75" customHeight="1" thickBot="1" x14ac:dyDescent="0.3">
      <c r="B9" s="236" t="s">
        <v>74</v>
      </c>
      <c r="C9" s="237"/>
      <c r="D9" s="237"/>
      <c r="E9" s="237"/>
      <c r="F9" s="237"/>
      <c r="G9" s="237"/>
      <c r="H9" s="237"/>
      <c r="I9" s="238"/>
      <c r="AB9"/>
      <c r="AC9"/>
      <c r="AD9"/>
      <c r="AE9"/>
      <c r="AF9"/>
    </row>
    <row r="10" spans="2:32" ht="27.75" customHeight="1" thickBot="1" x14ac:dyDescent="0.3">
      <c r="B10" s="98"/>
      <c r="C10" s="123" t="s">
        <v>80</v>
      </c>
      <c r="D10" s="124" t="s">
        <v>81</v>
      </c>
      <c r="E10" s="124" t="s">
        <v>82</v>
      </c>
      <c r="F10" s="125" t="s">
        <v>83</v>
      </c>
      <c r="G10" s="124" t="s">
        <v>84</v>
      </c>
      <c r="H10" s="126" t="s">
        <v>9</v>
      </c>
      <c r="I10" s="99"/>
      <c r="AB10"/>
      <c r="AC10"/>
      <c r="AD10"/>
      <c r="AE10"/>
      <c r="AF10"/>
    </row>
    <row r="11" spans="2:32" ht="15.75" customHeight="1" thickBot="1" x14ac:dyDescent="0.3">
      <c r="B11" s="11" t="s">
        <v>45</v>
      </c>
      <c r="C11" s="11">
        <v>0</v>
      </c>
      <c r="D11" s="11">
        <v>0.25</v>
      </c>
      <c r="E11" s="11">
        <v>0.5</v>
      </c>
      <c r="F11" s="11">
        <v>0.75</v>
      </c>
      <c r="G11" s="11">
        <v>1</v>
      </c>
      <c r="H11" s="12" t="s">
        <v>8</v>
      </c>
      <c r="I11" s="13" t="s">
        <v>46</v>
      </c>
      <c r="AB11"/>
      <c r="AC11"/>
      <c r="AD11"/>
      <c r="AE11"/>
      <c r="AF11"/>
    </row>
    <row r="12" spans="2:32" ht="15.75" customHeight="1" thickBot="1" x14ac:dyDescent="0.3">
      <c r="B12" s="16" t="s">
        <v>95</v>
      </c>
      <c r="C12" s="147">
        <f>COUNTIF(REQUISITOS!B251:B251,"X")</f>
        <v>0</v>
      </c>
      <c r="D12" s="147">
        <f>COUNTIF(REQUISITOS!C251:C251,"X")</f>
        <v>0</v>
      </c>
      <c r="E12" s="147">
        <f>COUNTIF(REQUISITOS!D251:D251,"X")</f>
        <v>0</v>
      </c>
      <c r="F12" s="147">
        <f>COUNTIF(REQUISITOS!E251:E251,"X")</f>
        <v>0</v>
      </c>
      <c r="G12" s="147">
        <f>COUNTIF(REQUISITOS!F251:F251,"X")</f>
        <v>0</v>
      </c>
      <c r="H12" s="147">
        <f>COUNTIF(REQUISITOS!G251:G251,"X")</f>
        <v>0</v>
      </c>
      <c r="I12" s="151">
        <f>SUM(C12:H12)</f>
        <v>0</v>
      </c>
      <c r="AB12"/>
      <c r="AC12"/>
      <c r="AD12"/>
      <c r="AE12"/>
      <c r="AF12"/>
    </row>
    <row r="13" spans="2:32" ht="15.75" customHeight="1" thickBot="1" x14ac:dyDescent="0.3">
      <c r="B13" s="16" t="s">
        <v>41</v>
      </c>
      <c r="C13" s="108">
        <f>COUNTIF(REQUISITOS!B254:B265,"X")</f>
        <v>0</v>
      </c>
      <c r="D13" s="108">
        <f>COUNTIF(REQUISITOS!C254:C265,"X")</f>
        <v>0</v>
      </c>
      <c r="E13" s="108">
        <f>COUNTIF(REQUISITOS!D254:D265,"X")</f>
        <v>0</v>
      </c>
      <c r="F13" s="108">
        <f>COUNTIF(REQUISITOS!E254:E265,"X")</f>
        <v>0</v>
      </c>
      <c r="G13" s="108">
        <f>COUNTIF(REQUISITOS!F254:F265,"X")</f>
        <v>0</v>
      </c>
      <c r="H13" s="108">
        <f>COUNTIF(REQUISITOS!G254:G265,"X")</f>
        <v>0</v>
      </c>
      <c r="I13" s="152">
        <f>SUM(C13:H13)</f>
        <v>0</v>
      </c>
      <c r="AB13"/>
      <c r="AC13"/>
      <c r="AD13"/>
      <c r="AE13"/>
      <c r="AF13"/>
    </row>
    <row r="14" spans="2:32" ht="15.75" customHeight="1" thickBot="1" x14ac:dyDescent="0.3">
      <c r="B14" s="16" t="s">
        <v>340</v>
      </c>
      <c r="C14" s="147">
        <f>COUNTIF(REQUISITOS!B267:B267,"X")</f>
        <v>0</v>
      </c>
      <c r="D14" s="147">
        <f>COUNTIF(REQUISITOS!C267:C267,"X")</f>
        <v>0</v>
      </c>
      <c r="E14" s="147">
        <f>COUNTIF(REQUISITOS!D267:D267,"X")</f>
        <v>0</v>
      </c>
      <c r="F14" s="147">
        <f>COUNTIF(REQUISITOS!E267:E267,"X")</f>
        <v>0</v>
      </c>
      <c r="G14" s="147">
        <f>COUNTIF(REQUISITOS!F267:F267,"X")</f>
        <v>0</v>
      </c>
      <c r="H14" s="147">
        <f>COUNTIF(REQUISITOS!G267:G267,"X")</f>
        <v>0</v>
      </c>
      <c r="I14" s="151">
        <f>SUM(C14:H14)</f>
        <v>0</v>
      </c>
      <c r="AB14"/>
      <c r="AC14"/>
      <c r="AD14"/>
      <c r="AE14"/>
      <c r="AF14"/>
    </row>
    <row r="15" spans="2:32" ht="15.75" customHeight="1" thickBot="1" x14ac:dyDescent="0.3">
      <c r="B15" s="89" t="s">
        <v>46</v>
      </c>
      <c r="C15" s="130">
        <f t="shared" ref="C15:H15" si="0">SUM(C12:C13)</f>
        <v>0</v>
      </c>
      <c r="D15" s="130">
        <f t="shared" si="0"/>
        <v>0</v>
      </c>
      <c r="E15" s="130">
        <f t="shared" si="0"/>
        <v>0</v>
      </c>
      <c r="F15" s="130">
        <f t="shared" si="0"/>
        <v>0</v>
      </c>
      <c r="G15" s="130">
        <f t="shared" si="0"/>
        <v>0</v>
      </c>
      <c r="H15" s="130">
        <f t="shared" si="0"/>
        <v>0</v>
      </c>
      <c r="I15" s="131">
        <f>SUM(I12:I13)-H15</f>
        <v>0</v>
      </c>
      <c r="AB15"/>
      <c r="AC15"/>
      <c r="AD15"/>
      <c r="AE15"/>
      <c r="AF15"/>
    </row>
    <row r="16" spans="2:32" ht="15.75" customHeight="1" thickBot="1" x14ac:dyDescent="0.3">
      <c r="B16" s="239" t="s">
        <v>93</v>
      </c>
      <c r="C16" s="240"/>
      <c r="D16" s="240"/>
      <c r="E16" s="240"/>
      <c r="F16" s="240"/>
      <c r="G16" s="240"/>
      <c r="H16" s="240"/>
      <c r="I16" s="241"/>
      <c r="AB16"/>
      <c r="AC16"/>
      <c r="AD16"/>
      <c r="AE16"/>
      <c r="AF16"/>
    </row>
    <row r="17" spans="2:32" ht="15.75" customHeight="1" thickBot="1" x14ac:dyDescent="0.3">
      <c r="B17" s="234">
        <f>IF(I15=0,0,(C15*C11+D15*D11+E15*E11+F15*F11+G15*G11)/I15)</f>
        <v>0</v>
      </c>
      <c r="C17" s="235"/>
      <c r="D17" s="235"/>
      <c r="E17" s="235"/>
      <c r="F17" s="235"/>
      <c r="G17" s="235"/>
      <c r="H17" s="235"/>
      <c r="I17" s="205"/>
      <c r="AB17"/>
      <c r="AC17"/>
      <c r="AD17"/>
      <c r="AE17"/>
      <c r="AF17"/>
    </row>
    <row r="18" spans="2:32" x14ac:dyDescent="0.25">
      <c r="AB18"/>
      <c r="AC18"/>
      <c r="AD18"/>
      <c r="AE18"/>
      <c r="AF18"/>
    </row>
    <row r="19" spans="2:32" x14ac:dyDescent="0.25">
      <c r="AB19"/>
      <c r="AC19"/>
      <c r="AD19"/>
      <c r="AE19"/>
      <c r="AF19"/>
    </row>
    <row r="20" spans="2:32" x14ac:dyDescent="0.25">
      <c r="AB20"/>
      <c r="AC20"/>
      <c r="AD20"/>
      <c r="AE20"/>
      <c r="AF20"/>
    </row>
    <row r="21" spans="2:32" x14ac:dyDescent="0.25">
      <c r="AB21"/>
      <c r="AC21"/>
      <c r="AD21"/>
      <c r="AE21"/>
      <c r="AF21"/>
    </row>
    <row r="22" spans="2:32" x14ac:dyDescent="0.25">
      <c r="AB22"/>
      <c r="AC22"/>
      <c r="AD22"/>
      <c r="AE22"/>
      <c r="AF22"/>
    </row>
    <row r="25" spans="2:32" ht="15.75" customHeight="1" x14ac:dyDescent="0.25">
      <c r="I25" s="34"/>
    </row>
    <row r="27" spans="2:32" ht="15" customHeight="1" x14ac:dyDescent="0.25"/>
    <row r="42" spans="2:14" ht="15.75" thickBot="1" x14ac:dyDescent="0.3"/>
    <row r="43" spans="2:14" ht="15" customHeight="1" x14ac:dyDescent="0.25">
      <c r="B43" s="316" t="s">
        <v>116</v>
      </c>
      <c r="C43" s="317"/>
      <c r="D43" s="317"/>
      <c r="E43" s="317"/>
      <c r="F43" s="317"/>
      <c r="G43" s="317"/>
      <c r="H43" s="317"/>
      <c r="I43" s="317"/>
      <c r="J43" s="317"/>
      <c r="K43" s="317"/>
      <c r="L43" s="317"/>
      <c r="M43" s="317"/>
      <c r="N43" s="318"/>
    </row>
    <row r="44" spans="2:14" ht="15" customHeight="1" x14ac:dyDescent="0.25">
      <c r="B44" s="319"/>
      <c r="C44" s="320"/>
      <c r="D44" s="320"/>
      <c r="E44" s="320"/>
      <c r="F44" s="320"/>
      <c r="G44" s="320"/>
      <c r="H44" s="320"/>
      <c r="I44" s="320"/>
      <c r="J44" s="320"/>
      <c r="K44" s="320"/>
      <c r="L44" s="320"/>
      <c r="M44" s="320"/>
      <c r="N44" s="321"/>
    </row>
    <row r="45" spans="2:14" ht="15" customHeight="1" thickBot="1" x14ac:dyDescent="0.3">
      <c r="B45" s="322"/>
      <c r="C45" s="323"/>
      <c r="D45" s="323"/>
      <c r="E45" s="323"/>
      <c r="F45" s="323"/>
      <c r="G45" s="323"/>
      <c r="H45" s="323"/>
      <c r="I45" s="323"/>
      <c r="J45" s="323"/>
      <c r="K45" s="323"/>
      <c r="L45" s="323"/>
      <c r="M45" s="323"/>
      <c r="N45" s="324"/>
    </row>
    <row r="46" spans="2:14" ht="15" customHeight="1" x14ac:dyDescent="0.25">
      <c r="B46" s="325" t="str">
        <f>"Según se muestra en la Tabla  MEJORA el porcentaje de implementación alcanzado es de "&amp;TEXT(B17,"0.00%")&amp;" "</f>
        <v xml:space="preserve">Según se muestra en la Tabla  MEJORA el porcentaje de implementación alcanzado es de 0.00% </v>
      </c>
      <c r="C46" s="326"/>
      <c r="D46" s="326"/>
      <c r="E46" s="326"/>
      <c r="F46" s="326"/>
      <c r="G46" s="326"/>
      <c r="H46" s="326"/>
      <c r="I46" s="326"/>
      <c r="J46" s="326"/>
      <c r="K46" s="326"/>
      <c r="L46" s="326"/>
      <c r="M46" s="326"/>
      <c r="N46" s="327"/>
    </row>
    <row r="47" spans="2:14" ht="15" customHeight="1" x14ac:dyDescent="0.25">
      <c r="B47" s="331" t="s">
        <v>350</v>
      </c>
      <c r="C47" s="332"/>
      <c r="D47" s="332"/>
      <c r="E47" s="332"/>
      <c r="F47" s="332"/>
      <c r="G47" s="332"/>
      <c r="H47" s="332"/>
      <c r="I47" s="332"/>
      <c r="J47" s="332"/>
      <c r="K47" s="332"/>
      <c r="L47" s="332"/>
      <c r="M47" s="332"/>
      <c r="N47" s="333"/>
    </row>
    <row r="48" spans="2:14" ht="15.75" customHeight="1" thickBot="1" x14ac:dyDescent="0.3">
      <c r="B48" s="334"/>
      <c r="C48" s="335"/>
      <c r="D48" s="335"/>
      <c r="E48" s="335"/>
      <c r="F48" s="335"/>
      <c r="G48" s="335"/>
      <c r="H48" s="335"/>
      <c r="I48" s="335"/>
      <c r="J48" s="335"/>
      <c r="K48" s="335"/>
      <c r="L48" s="335"/>
      <c r="M48" s="335"/>
      <c r="N48" s="336"/>
    </row>
  </sheetData>
  <mergeCells count="9">
    <mergeCell ref="B47:N48"/>
    <mergeCell ref="B17:I17"/>
    <mergeCell ref="B9:I9"/>
    <mergeCell ref="B16:I16"/>
    <mergeCell ref="B3:N4"/>
    <mergeCell ref="B5:G6"/>
    <mergeCell ref="H5:N6"/>
    <mergeCell ref="B43:N45"/>
    <mergeCell ref="B46:N46"/>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VALORES</vt:lpstr>
      <vt:lpstr>REQUISITOS</vt:lpstr>
      <vt:lpstr>ANÁLISIS DATOS GLOBAL</vt:lpstr>
      <vt:lpstr>ANÁLISIS 4</vt:lpstr>
      <vt:lpstr>ANÁLISIS 5</vt:lpstr>
      <vt:lpstr>ANÁLISIS 6</vt:lpstr>
      <vt:lpstr>ANÁLISIS 7</vt:lpstr>
      <vt:lpstr>ANÁLISIS 8</vt:lpstr>
      <vt:lpstr>ANÁLISIS 9</vt:lpstr>
      <vt:lpstr>ANÁLISIS 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Sandra</dc:creator>
  <cp:lastModifiedBy>ALUMNO - ROBERTO CARLOS ALANGUIA ALEJO</cp:lastModifiedBy>
  <dcterms:created xsi:type="dcterms:W3CDTF">2015-06-05T18:19:34Z</dcterms:created>
  <dcterms:modified xsi:type="dcterms:W3CDTF">2025-01-09T13:37:32Z</dcterms:modified>
</cp:coreProperties>
</file>