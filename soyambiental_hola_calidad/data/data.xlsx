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odoo-projects\18.0\sc_ambiental_e\soyambiental_hola_calidad\data\"/>
    </mc:Choice>
  </mc:AlternateContent>
  <xr:revisionPtr revIDLastSave="0" documentId="13_ncr:1_{F995EFBB-970C-4830-A8D7-00D3A4052705}" xr6:coauthVersionLast="47" xr6:coauthVersionMax="47" xr10:uidLastSave="{00000000-0000-0000-0000-000000000000}"/>
  <bookViews>
    <workbookView xWindow="-108" yWindow="-108" windowWidth="23256" windowHeight="12456" tabRatio="785" firstSheet="1" activeTab="1" xr2:uid="{00000000-000D-0000-FFFF-FFFF00000000}"/>
  </bookViews>
  <sheets>
    <sheet name="VALORES" sheetId="1" r:id="rId1"/>
    <sheet name="REQUISITOS" sheetId="2" r:id="rId2"/>
    <sheet name="ANÁLISIS DATOS GLOBAL" sheetId="3" r:id="rId3"/>
    <sheet name="ANÁLISIS 4" sheetId="4" r:id="rId4"/>
    <sheet name="ANÁLISIS 5" sheetId="5" r:id="rId5"/>
    <sheet name="ANÁLISIS 6" sheetId="6" r:id="rId6"/>
    <sheet name="ANÁLISIS 7" sheetId="7" r:id="rId7"/>
    <sheet name="ANÁLISIS 8" sheetId="8" r:id="rId8"/>
    <sheet name="ANÁLISIS 9" sheetId="9" r:id="rId9"/>
    <sheet name="ANÁLISIS 10" sheetId="10" r:id="rId1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3" l="1"/>
  <c r="E13" i="6"/>
  <c r="D13" i="6"/>
  <c r="C13" i="6"/>
  <c r="E29" i="3"/>
  <c r="D29" i="3"/>
  <c r="H13" i="10"/>
  <c r="G13" i="10"/>
  <c r="F13" i="10"/>
  <c r="E13" i="10"/>
  <c r="D13" i="10"/>
  <c r="C13" i="10"/>
  <c r="H12" i="10"/>
  <c r="H14" i="10" s="1"/>
  <c r="G12" i="10"/>
  <c r="F12" i="10"/>
  <c r="E12" i="10"/>
  <c r="D12" i="10"/>
  <c r="C12" i="10"/>
  <c r="H5" i="10"/>
  <c r="H15" i="9"/>
  <c r="G15" i="9"/>
  <c r="F15" i="9"/>
  <c r="E15" i="9"/>
  <c r="D15" i="9"/>
  <c r="C15" i="9"/>
  <c r="H14" i="9"/>
  <c r="G14" i="9"/>
  <c r="F14" i="9"/>
  <c r="E14" i="9"/>
  <c r="D14" i="9"/>
  <c r="C14" i="9"/>
  <c r="H13" i="9"/>
  <c r="G13" i="9"/>
  <c r="F13" i="9"/>
  <c r="E13" i="9"/>
  <c r="D13" i="9"/>
  <c r="C13" i="9"/>
  <c r="C16" i="9" s="1"/>
  <c r="G5" i="9"/>
  <c r="H12" i="8"/>
  <c r="G12" i="8"/>
  <c r="F12" i="8"/>
  <c r="E12" i="8"/>
  <c r="D12" i="8"/>
  <c r="C12" i="8"/>
  <c r="H11" i="8"/>
  <c r="H13" i="8" s="1"/>
  <c r="G11" i="8"/>
  <c r="G13" i="8" s="1"/>
  <c r="F11" i="8"/>
  <c r="E11" i="8"/>
  <c r="D11" i="8"/>
  <c r="C11" i="8"/>
  <c r="F5" i="8"/>
  <c r="H16" i="7"/>
  <c r="G16" i="7"/>
  <c r="F16" i="7"/>
  <c r="E16" i="7"/>
  <c r="D16" i="7"/>
  <c r="C16" i="7"/>
  <c r="H15" i="7"/>
  <c r="G15" i="7"/>
  <c r="F15" i="7"/>
  <c r="E15" i="7"/>
  <c r="D15" i="7"/>
  <c r="C15" i="7"/>
  <c r="H14" i="7"/>
  <c r="G14" i="7"/>
  <c r="F14" i="7"/>
  <c r="E14" i="7"/>
  <c r="D14" i="7"/>
  <c r="C14" i="7"/>
  <c r="H13" i="7"/>
  <c r="G13" i="7"/>
  <c r="F13" i="7"/>
  <c r="E13" i="7"/>
  <c r="D13" i="7"/>
  <c r="C13" i="7"/>
  <c r="H12" i="7"/>
  <c r="G12" i="7"/>
  <c r="F12" i="7"/>
  <c r="E12" i="7"/>
  <c r="D12" i="7"/>
  <c r="C12" i="7"/>
  <c r="G5" i="7"/>
  <c r="B46" i="6"/>
  <c r="H14" i="6"/>
  <c r="G14" i="6"/>
  <c r="F14" i="6"/>
  <c r="E14" i="6"/>
  <c r="D14" i="6"/>
  <c r="C14" i="6"/>
  <c r="H13" i="6"/>
  <c r="G13" i="6"/>
  <c r="F13" i="6"/>
  <c r="H12" i="6"/>
  <c r="G12" i="6"/>
  <c r="F12" i="6"/>
  <c r="E12" i="6"/>
  <c r="D12" i="6"/>
  <c r="C12" i="6"/>
  <c r="F5" i="6"/>
  <c r="H14" i="5"/>
  <c r="G14" i="5"/>
  <c r="F14" i="5"/>
  <c r="E14" i="5"/>
  <c r="D14" i="5"/>
  <c r="C14" i="5"/>
  <c r="H13" i="5"/>
  <c r="G13" i="5"/>
  <c r="F13" i="5"/>
  <c r="E13" i="5"/>
  <c r="D13" i="5"/>
  <c r="C13" i="5"/>
  <c r="H12" i="5"/>
  <c r="G12" i="5"/>
  <c r="F12" i="5"/>
  <c r="E12" i="5"/>
  <c r="D12" i="5"/>
  <c r="C12" i="5"/>
  <c r="E5" i="5"/>
  <c r="H15" i="4"/>
  <c r="G15" i="4"/>
  <c r="F15" i="4"/>
  <c r="E15" i="4"/>
  <c r="D15" i="4"/>
  <c r="C15" i="4"/>
  <c r="H14" i="4"/>
  <c r="G14" i="4"/>
  <c r="F14" i="4"/>
  <c r="E14" i="4"/>
  <c r="D14" i="4"/>
  <c r="C14" i="4"/>
  <c r="H13" i="4"/>
  <c r="G13" i="4"/>
  <c r="F13" i="4"/>
  <c r="E13" i="4"/>
  <c r="D13" i="4"/>
  <c r="C13" i="4"/>
  <c r="H12" i="4"/>
  <c r="G12" i="4"/>
  <c r="F12" i="4"/>
  <c r="E12" i="4"/>
  <c r="D12" i="4"/>
  <c r="C12" i="4"/>
  <c r="F5" i="4"/>
  <c r="H67" i="3"/>
  <c r="G67" i="3"/>
  <c r="F67" i="3"/>
  <c r="E67" i="3"/>
  <c r="D67" i="3"/>
  <c r="C67" i="3"/>
  <c r="H66" i="3"/>
  <c r="G66" i="3"/>
  <c r="F66" i="3"/>
  <c r="E66" i="3"/>
  <c r="D66" i="3"/>
  <c r="C66" i="3"/>
  <c r="H59" i="3"/>
  <c r="G59" i="3"/>
  <c r="F59" i="3"/>
  <c r="E59" i="3"/>
  <c r="D59" i="3"/>
  <c r="C59" i="3"/>
  <c r="H58" i="3"/>
  <c r="G58" i="3"/>
  <c r="F58" i="3"/>
  <c r="E58" i="3"/>
  <c r="D58" i="3"/>
  <c r="C58" i="3"/>
  <c r="H57" i="3"/>
  <c r="G57" i="3"/>
  <c r="F57" i="3"/>
  <c r="E57" i="3"/>
  <c r="D57" i="3"/>
  <c r="C57" i="3"/>
  <c r="H50" i="3"/>
  <c r="G50" i="3"/>
  <c r="F50" i="3"/>
  <c r="E50" i="3"/>
  <c r="D50" i="3"/>
  <c r="C50" i="3"/>
  <c r="H49" i="3"/>
  <c r="G49" i="3"/>
  <c r="F49" i="3"/>
  <c r="E49" i="3"/>
  <c r="D49" i="3"/>
  <c r="C49" i="3"/>
  <c r="H42" i="3"/>
  <c r="G42" i="3"/>
  <c r="F42" i="3"/>
  <c r="E42" i="3"/>
  <c r="D42" i="3"/>
  <c r="C42" i="3"/>
  <c r="H41" i="3"/>
  <c r="G41" i="3"/>
  <c r="F41" i="3"/>
  <c r="E41" i="3"/>
  <c r="D41" i="3"/>
  <c r="C41" i="3"/>
  <c r="H40" i="3"/>
  <c r="G40" i="3"/>
  <c r="F40" i="3"/>
  <c r="E40" i="3"/>
  <c r="D40" i="3"/>
  <c r="C40" i="3"/>
  <c r="H39" i="3"/>
  <c r="G39" i="3"/>
  <c r="F39" i="3"/>
  <c r="E39" i="3"/>
  <c r="D39" i="3"/>
  <c r="C39" i="3"/>
  <c r="H38" i="3"/>
  <c r="G38" i="3"/>
  <c r="F38" i="3"/>
  <c r="E38" i="3"/>
  <c r="D38" i="3"/>
  <c r="C38" i="3"/>
  <c r="H31" i="3"/>
  <c r="G31" i="3"/>
  <c r="F31" i="3"/>
  <c r="E31" i="3"/>
  <c r="D31" i="3"/>
  <c r="C31" i="3"/>
  <c r="H30" i="3"/>
  <c r="G30" i="3"/>
  <c r="F30" i="3"/>
  <c r="E30" i="3"/>
  <c r="D30" i="3"/>
  <c r="C30" i="3"/>
  <c r="H29" i="3"/>
  <c r="G29" i="3"/>
  <c r="F29" i="3"/>
  <c r="H22" i="3"/>
  <c r="G22" i="3"/>
  <c r="F22" i="3"/>
  <c r="E22" i="3"/>
  <c r="D22" i="3"/>
  <c r="C22" i="3"/>
  <c r="H21" i="3"/>
  <c r="G21" i="3"/>
  <c r="F21" i="3"/>
  <c r="E21" i="3"/>
  <c r="D21" i="3"/>
  <c r="C21" i="3"/>
  <c r="H20" i="3"/>
  <c r="G20" i="3"/>
  <c r="F20" i="3"/>
  <c r="E20" i="3"/>
  <c r="D20" i="3"/>
  <c r="C20" i="3"/>
  <c r="L15" i="3"/>
  <c r="L14" i="3"/>
  <c r="L12" i="3"/>
  <c r="H12" i="3"/>
  <c r="G12" i="3"/>
  <c r="F12" i="3"/>
  <c r="E12" i="3"/>
  <c r="D12" i="3"/>
  <c r="C12" i="3"/>
  <c r="L11" i="3"/>
  <c r="H11" i="3"/>
  <c r="G11" i="3"/>
  <c r="F11" i="3"/>
  <c r="E11" i="3"/>
  <c r="D11" i="3"/>
  <c r="C11" i="3"/>
  <c r="L10" i="3"/>
  <c r="H10" i="3"/>
  <c r="G10" i="3"/>
  <c r="F10" i="3"/>
  <c r="E10" i="3"/>
  <c r="D10" i="3"/>
  <c r="C10" i="3"/>
  <c r="L9" i="3"/>
  <c r="H9" i="3"/>
  <c r="G9" i="3"/>
  <c r="F9" i="3"/>
  <c r="E9" i="3"/>
  <c r="D9" i="3"/>
  <c r="C9" i="3"/>
  <c r="G14" i="10" l="1"/>
  <c r="C15" i="6"/>
  <c r="D13" i="8"/>
  <c r="I13" i="10"/>
  <c r="I10" i="3"/>
  <c r="D68" i="3"/>
  <c r="C68" i="3"/>
  <c r="D23" i="3"/>
  <c r="I14" i="5"/>
  <c r="I11" i="3"/>
  <c r="C32" i="3"/>
  <c r="C51" i="3"/>
  <c r="F51" i="3"/>
  <c r="F14" i="10"/>
  <c r="I9" i="3"/>
  <c r="E68" i="3"/>
  <c r="G15" i="5"/>
  <c r="D16" i="9"/>
  <c r="I42" i="3"/>
  <c r="H60" i="3"/>
  <c r="F68" i="3"/>
  <c r="E15" i="6"/>
  <c r="I58" i="3"/>
  <c r="C13" i="8"/>
  <c r="C14" i="10"/>
  <c r="G32" i="3"/>
  <c r="I41" i="3"/>
  <c r="G51" i="3"/>
  <c r="H68" i="3"/>
  <c r="I12" i="4"/>
  <c r="I15" i="9"/>
  <c r="D14" i="10"/>
  <c r="D15" i="6"/>
  <c r="F16" i="9"/>
  <c r="G23" i="3"/>
  <c r="H32" i="3"/>
  <c r="H51" i="3"/>
  <c r="I67" i="3"/>
  <c r="H16" i="9"/>
  <c r="E14" i="10"/>
  <c r="H23" i="3"/>
  <c r="G60" i="3"/>
  <c r="E51" i="3"/>
  <c r="C15" i="5"/>
  <c r="G43" i="3"/>
  <c r="I40" i="3"/>
  <c r="D60" i="3"/>
  <c r="I13" i="6"/>
  <c r="F15" i="5"/>
  <c r="G16" i="9"/>
  <c r="H43" i="3"/>
  <c r="E16" i="4"/>
  <c r="H16" i="4"/>
  <c r="I14" i="4"/>
  <c r="H13" i="3"/>
  <c r="I12" i="3"/>
  <c r="F32" i="3"/>
  <c r="D43" i="3"/>
  <c r="I50" i="3"/>
  <c r="E60" i="3"/>
  <c r="I16" i="7"/>
  <c r="F23" i="3"/>
  <c r="F43" i="3"/>
  <c r="G13" i="3"/>
  <c r="I21" i="3"/>
  <c r="C23" i="3"/>
  <c r="I31" i="3"/>
  <c r="C43" i="3"/>
  <c r="D51" i="3"/>
  <c r="F60" i="3"/>
  <c r="I13" i="4"/>
  <c r="H15" i="5"/>
  <c r="F13" i="8"/>
  <c r="E16" i="9"/>
  <c r="I15" i="7"/>
  <c r="E13" i="8"/>
  <c r="I59" i="3"/>
  <c r="C16" i="4"/>
  <c r="C13" i="3"/>
  <c r="E23" i="3"/>
  <c r="E43" i="3"/>
  <c r="D16" i="4"/>
  <c r="F17" i="7"/>
  <c r="I12" i="5"/>
  <c r="F15" i="6"/>
  <c r="I12" i="7"/>
  <c r="E17" i="7"/>
  <c r="I15" i="4"/>
  <c r="D15" i="5"/>
  <c r="G15" i="6"/>
  <c r="H17" i="7"/>
  <c r="D17" i="7"/>
  <c r="I14" i="9"/>
  <c r="E13" i="3"/>
  <c r="I22" i="3"/>
  <c r="I29" i="3"/>
  <c r="E32" i="3"/>
  <c r="F16" i="4"/>
  <c r="F13" i="3"/>
  <c r="D32" i="3"/>
  <c r="C60" i="3"/>
  <c r="G68" i="3"/>
  <c r="G16" i="4"/>
  <c r="E15" i="5"/>
  <c r="I13" i="5"/>
  <c r="I12" i="6"/>
  <c r="I14" i="6"/>
  <c r="I13" i="7"/>
  <c r="G17" i="7"/>
  <c r="I12" i="8"/>
  <c r="H15" i="6"/>
  <c r="C17" i="7"/>
  <c r="I11" i="8"/>
  <c r="I13" i="9"/>
  <c r="I20" i="3"/>
  <c r="I39" i="3"/>
  <c r="I66" i="3"/>
  <c r="I38" i="3"/>
  <c r="I14" i="7"/>
  <c r="D13" i="3"/>
  <c r="I57" i="3"/>
  <c r="I30" i="3"/>
  <c r="I49" i="3"/>
  <c r="I12" i="10"/>
  <c r="I14" i="10" s="1"/>
  <c r="I51" i="3" l="1"/>
  <c r="B53" i="3" s="1"/>
  <c r="M13" i="3" s="1"/>
  <c r="N13" i="3" s="1"/>
  <c r="I13" i="3"/>
  <c r="I13" i="8"/>
  <c r="B15" i="8" s="1"/>
  <c r="B46" i="8" s="1"/>
  <c r="E75" i="3"/>
  <c r="B16" i="10"/>
  <c r="B45" i="10" s="1"/>
  <c r="H75" i="3"/>
  <c r="F75" i="3"/>
  <c r="I60" i="3"/>
  <c r="B62" i="3" s="1"/>
  <c r="M14" i="3" s="1"/>
  <c r="N14" i="3" s="1"/>
  <c r="D75" i="3"/>
  <c r="I17" i="7"/>
  <c r="B19" i="7" s="1"/>
  <c r="B46" i="7" s="1"/>
  <c r="I15" i="6"/>
  <c r="B17" i="6" s="1"/>
  <c r="I43" i="3"/>
  <c r="B45" i="3" s="1"/>
  <c r="M12" i="3" s="1"/>
  <c r="N12" i="3" s="1"/>
  <c r="I68" i="3"/>
  <c r="B70" i="3" s="1"/>
  <c r="M15" i="3" s="1"/>
  <c r="N15" i="3" s="1"/>
  <c r="I32" i="3"/>
  <c r="B34" i="3" s="1"/>
  <c r="M11" i="3" s="1"/>
  <c r="N11" i="3" s="1"/>
  <c r="I15" i="5"/>
  <c r="B17" i="5" s="1"/>
  <c r="B42" i="5" s="1"/>
  <c r="G75" i="3"/>
  <c r="C75" i="3"/>
  <c r="I23" i="3"/>
  <c r="B25" i="3" s="1"/>
  <c r="M10" i="3" s="1"/>
  <c r="N10" i="3" s="1"/>
  <c r="I16" i="4"/>
  <c r="B18" i="4" s="1"/>
  <c r="B43" i="4" s="1"/>
  <c r="I16" i="9"/>
  <c r="B18" i="9" s="1"/>
  <c r="B45" i="9" s="1"/>
  <c r="B15" i="3"/>
  <c r="M9" i="3" s="1"/>
  <c r="N9" i="3" s="1"/>
  <c r="I75" i="3" l="1"/>
  <c r="B77" i="3" s="1"/>
  <c r="M16" i="3" s="1"/>
  <c r="N16" i="3" l="1"/>
  <c r="L4" i="3" s="1"/>
  <c r="M17" i="3"/>
  <c r="L57" i="3" l="1"/>
</calcChain>
</file>

<file path=xl/sharedStrings.xml><?xml version="1.0" encoding="utf-8"?>
<sst xmlns="http://schemas.openxmlformats.org/spreadsheetml/2006/main" count="482" uniqueCount="269">
  <si>
    <t>VALORES DE CUMPLIMIENTO</t>
  </si>
  <si>
    <t>VALORES DE NIVEL</t>
  </si>
  <si>
    <t>% De cumplimiento</t>
  </si>
  <si>
    <t>Detalle</t>
  </si>
  <si>
    <t>NIVEL</t>
  </si>
  <si>
    <t>No documentado / No existente</t>
  </si>
  <si>
    <t>0% - 24%</t>
  </si>
  <si>
    <t>INICIAL</t>
  </si>
  <si>
    <t>Aplicado / No documentado</t>
  </si>
  <si>
    <t>25% - 49%</t>
  </si>
  <si>
    <t>NOVATO</t>
  </si>
  <si>
    <t>Documentado / No aplicado</t>
  </si>
  <si>
    <t>50%- 74%</t>
  </si>
  <si>
    <t>COMPETENTE</t>
  </si>
  <si>
    <t>Aplicado y documentado</t>
  </si>
  <si>
    <t>75%- 99%</t>
  </si>
  <si>
    <t>AVANZADO</t>
  </si>
  <si>
    <t>Aplicado, documentado y controlado</t>
  </si>
  <si>
    <t>EXPERTO</t>
  </si>
  <si>
    <t>N/A</t>
  </si>
  <si>
    <t>No aplica</t>
  </si>
  <si>
    <t>ANÁLISIS DEL GRADO DE IMPLEMENTACIÓN DE LA NORMA ISO 14001:2026</t>
  </si>
  <si>
    <t xml:space="preserve">EMPRESA: </t>
  </si>
  <si>
    <t xml:space="preserve">FECHA APLICACIÓN: </t>
  </si>
  <si>
    <t xml:space="preserve">RESPONSABLE: </t>
  </si>
  <si>
    <t>Modo de uso: Con el texto de la norma ISO 14001:2026 en mano y para cada punto normativo, responda con total honestidad marcando con una X si cumple totalmente o parcialmente el requisito y de un % conforme a los valores de cumplimiento. Puede agregar un comentario para justificar su evaluación. En las demás hojas de calculo se mostrara la brecha en forma visual y los análisis por numeral de la norma.</t>
  </si>
  <si>
    <t>4. Contexto de la organización</t>
  </si>
  <si>
    <t>4.1 Comprensión de la organización y de su contexto</t>
  </si>
  <si>
    <t>La organización debe:</t>
  </si>
  <si>
    <t>Observaciones</t>
  </si>
  <si>
    <t>Determinar las cuestiones externas e internas pertinentes para su propósito y que afectan su capacidad para lograr los resultados previstos del sistema de gestión ambiental.</t>
  </si>
  <si>
    <t>X</t>
  </si>
  <si>
    <t>Considerar las condiciones ambientales que pueden afectar a la organización o verse afectadas por sus actividades, productos y servicios.</t>
  </si>
  <si>
    <t>Considerar, cuando sea pertinente, factores como contaminación, disponibilidad de recursos naturales, cambio climático, biodiversidad y salud de los ecosistemas.</t>
  </si>
  <si>
    <t>Utilizar la información del contexto para planificar, implementar, mantener y mejorar el sistema de gestión ambiental.</t>
  </si>
  <si>
    <t>4.2 Comprensión de las necesidades y expectativas de las partes interesadas</t>
  </si>
  <si>
    <t>Determinar las partes interesadas pertinentes para el sistema de gestión ambiental.</t>
  </si>
  <si>
    <t>Determinar las necesidades y expectativas pertinentes de dichas partes interesadas.</t>
  </si>
  <si>
    <t>Determinar cuáles de estas necesidades y expectativas se convierten en obligaciones de compliance.</t>
  </si>
  <si>
    <t>Determinar cuáles obligaciones de compliance serán abordadas mediante el sistema de gestión ambiental.</t>
  </si>
  <si>
    <t>Considerar, cuando corresponda, necesidades y expectativas relacionadas con contaminación, recursos naturales, cambio climático, biodiversidad o ecosistemas.</t>
  </si>
  <si>
    <t>4.3 Determinación del alcance de un sistema de gestión ambiental</t>
  </si>
  <si>
    <t>Determinar los límites y la aplicabilidad del sistema de gestión ambiental para establecer su alcance.</t>
  </si>
  <si>
    <t>Considerar las cuestiones externas e internas, las obligaciones de compliance, las unidades, funciones y límites físicos de la organización.</t>
  </si>
  <si>
    <t>Considerar las actividades, productos, servicios y la capacidad de ejercer control o influencia a lo largo de su ciclo de vida.</t>
  </si>
  <si>
    <t>Incluir dentro del sistema de gestión ambiental todas las actividades, productos y servicios que se encuentren dentro del alcance definido.</t>
  </si>
  <si>
    <t>Mantener el alcance disponible como información documentada y ponerlo a disposición de las partes interesadas.</t>
  </si>
  <si>
    <t>4.4 Sistema de gestión ambiental</t>
  </si>
  <si>
    <t>Establecer, implementar, mantener y mejorar continuamente un sistema de gestión ambiental que incluya los procesos necesarios y sus interacciones.</t>
  </si>
  <si>
    <t>Asegurar que el sistema de gestión ambiental permita lograr los resultados previstos, incluida la mejora del desempeño ambiental.</t>
  </si>
  <si>
    <t>Considerar el conocimiento obtenido sobre el contexto y las partes interesadas al establecer y mantener el sistema de gestión ambiental.</t>
  </si>
  <si>
    <t>5. Liderazgo</t>
  </si>
  <si>
    <t>5.1 Liderazgo y compromiso</t>
  </si>
  <si>
    <t xml:space="preserve">La alta dirección debe: </t>
  </si>
  <si>
    <t>Asumir la rendición de cuentas por la eficacia del sistema de gestión ambiental y asegurar que logre sus resultados previstos.</t>
  </si>
  <si>
    <t>Asegurar que la política, los objetivos y los requisitos del sistema de gestión ambiental se integren con la dirección estratégica, el contexto y los procesos de negocio.</t>
  </si>
  <si>
    <t>Asegurar la disponibilidad de los recursos necesarios para el sistema de gestión ambiental.</t>
  </si>
  <si>
    <t>Comunicar la importancia de la gestión ambiental, dirigir y apoyar a las personas, y promover la mejora continua.</t>
  </si>
  <si>
    <t>5.2 Política ambiental</t>
  </si>
  <si>
    <t>Establecer, implementar y mantener una política ambiental apropiada al propósito, contexto, actividades, productos, servicios e impactos ambientales de la organización.</t>
  </si>
  <si>
    <t>Proporcionar un marco de referencia para establecer los objetivos ambientales.</t>
  </si>
  <si>
    <t>Incluir el compromiso de proteger el medio ambiente y prevenir la contaminación.</t>
  </si>
  <si>
    <t>Incluir compromisos ambientales pertinentes al contexto, como uso sostenible de recursos, mitigación y adaptación al cambio climático, biodiversidad o protección de ecosistemas, cuando corresponda.</t>
  </si>
  <si>
    <t>Incluir los compromisos de cumplir las obligaciones de compliance y mejorar continuamente el sistema de gestión ambiental para mejorar el desempeño ambiental.</t>
  </si>
  <si>
    <t>Mantener la política como información documentada, comunicarla internamente y ponerla a disposición de las partes interesadas.</t>
  </si>
  <si>
    <t>5.3 Roles, responsabilidades y autoridades</t>
  </si>
  <si>
    <t>La alta dirección debe:</t>
  </si>
  <si>
    <t>Asignar y comunicar las responsabilidades y autoridades necesarias para el sistema de gestión ambiental.</t>
  </si>
  <si>
    <t>Asignar responsabilidad y autoridad para asegurar la conformidad del sistema de gestión ambiental e informar a la alta dirección sobre el desempeño del sistema y el desempeño ambiental.</t>
  </si>
  <si>
    <t>6. Planificación</t>
  </si>
  <si>
    <t>6.1 Acciones para abordar riesgos y oportunidades</t>
  </si>
  <si>
    <t xml:space="preserve">La organización debe: </t>
  </si>
  <si>
    <t>Establecer, implementar y mantener procesos para identificar aspectos ambientales, obligaciones de compliance, riesgos y oportunidades, y planificar las acciones correspondientes.</t>
  </si>
  <si>
    <t>Mantener disponible la información documentada necesaria para demostrar que estos procesos se realizan según lo planificado.</t>
  </si>
  <si>
    <t>Determinar los aspectos ambientales de sus actividades, productos y servicios que controla o puede influir, así como sus impactos ambientales asociados.</t>
  </si>
  <si>
    <t>Considerar una perspectiva de ciclo de vida, incluyendo las etapas aplicables de adquisición, diseño, operación, transporte, uso, fin de vida y disposición final.</t>
  </si>
  <si>
    <t>Considerar condiciones normales, anormales, cambios, nuevos desarrollos, actividades nuevas o modificadas y situaciones de emergencia potenciales.</t>
  </si>
  <si>
    <t>Establecer criterios para determinar los aspectos ambientales significativos e identificar aquellos que tengan o puedan tener impactos significativos.</t>
  </si>
  <si>
    <t>Comunicar los aspectos significativos y mantener disponible la información documentada sobre aspectos, impactos, criterios de significancia y aspectos significativos.</t>
  </si>
  <si>
    <t>Determinar y tener acceso a las obligaciones de compliance relacionadas con sus aspectos ambientales.</t>
  </si>
  <si>
    <t>Determinar cómo se aplican estas obligaciones a la organización.</t>
  </si>
  <si>
    <t>Considerar las obligaciones de compliance al establecer, implementar, mantener y mejorar el sistema de gestión ambiental, y mantenerlas disponibles como información documentada.</t>
  </si>
  <si>
    <t>Determinar los riesgos y oportunidades relacionados con los aspectos ambientales, obligaciones de compliance, contexto organizacional y requisitos de las partes interesadas.</t>
  </si>
  <si>
    <t>Considerar los efectos que pueden generar las condiciones ambientales externas sobre la organización, como cambio climático, disponibilidad de recursos, contaminación, biodiversidad o ecosistemas, cuando sea pertinente.</t>
  </si>
  <si>
    <t>Determinar los riesgos y oportunidades que deben abordarse para lograr los resultados previstos, prevenir efectos no deseados y lograr la mejora continua, manteniendo disponible la información documentada correspondiente.</t>
  </si>
  <si>
    <t>Las acciones para abordar aspectos ambientales significativos, obligaciones de compliance, riesgos y oportunidades.</t>
  </si>
  <si>
    <t>La forma de implementar o integrar estas acciones en los procesos del sistema de gestión ambiental y en otros procesos de negocio, cuando corresponda.</t>
  </si>
  <si>
    <t>La forma de evaluar la eficacia de las acciones, considerando opciones tecnológicas y requisitos financieros, operacionales y de negocio.</t>
  </si>
  <si>
    <t>6.2 Objetivos ambientales y planificación para lograrlos</t>
  </si>
  <si>
    <t>Establecer objetivos ambientales para las funciones y niveles pertinentes, considerando aspectos significativos, obligaciones de compliance, riesgos y oportunidades.</t>
  </si>
  <si>
    <t>Asegurar que los objetivos sean coherentes con la política ambiental, medibles cuando sea viable, objeto de seguimiento, comunicados y actualizados cuando corresponda.</t>
  </si>
  <si>
    <t>Mantener los objetivos ambientales disponibles como información documentada.</t>
  </si>
  <si>
    <t>Qué se hará, qué recursos se requerirán, quién será responsable y cuándo se finalizarán las acciones para lograr los objetivos ambientales.</t>
  </si>
  <si>
    <t>Cómo se evaluarán los resultados, incluidos los indicadores de seguimiento, y cómo se integrarán las acciones en los procesos de negocio.</t>
  </si>
  <si>
    <t>6.3 Planificación de cambios</t>
  </si>
  <si>
    <t>Gestionar de manera planificada los cambios que afectan o pueden afectar al sistema de gestión ambiental.</t>
  </si>
  <si>
    <t>Evaluar y controlar los efectos de cambios en procesos, productos, servicios, equipos, instalaciones, tecnología, personal, proveedores, obligaciones de compliance, aspectos ambientales, riesgos u oportunidades.</t>
  </si>
  <si>
    <t>Asegurar que los cambios permitan mantener la capacidad del sistema de gestión ambiental para lograr sus resultados previstos y mitigar efectos adversos cuando sea necesario.</t>
  </si>
  <si>
    <t>7. Apoyo</t>
  </si>
  <si>
    <t>7.1 Recursos</t>
  </si>
  <si>
    <t>Determinar y proporcionar los recursos humanos, financieros, tecnológicos, de infraestructura, conocimiento u otros necesarios para establecer, implementar, mantener y mejorar continuamente el sistema de gestión ambiental.</t>
  </si>
  <si>
    <t>7.2 Competencia</t>
  </si>
  <si>
    <t>Determinar la competencia necesaria de las personas que realizan trabajos bajo su control y que pueden afectar el desempeño ambiental o el cumplimiento de obligaciones de compliance.</t>
  </si>
  <si>
    <t>Asegurar que las personas sean competentes mediante educación, formación o experiencia apropiada.</t>
  </si>
  <si>
    <t>Determinar necesidades de formación, tomar acciones para adquirir competencias y evaluar su eficacia.</t>
  </si>
  <si>
    <t>Mantener disponible información documentada apropiada como evidencia de la competencia.</t>
  </si>
  <si>
    <t>7.3 Toma de conciencia</t>
  </si>
  <si>
    <t>La organización debe asegurarse de que las personas tomen conciencia de:</t>
  </si>
  <si>
    <t>La política ambiental, los aspectos ambientales significativos y los impactos ambientales reales o potenciales relacionados con su trabajo.</t>
  </si>
  <si>
    <t>Su contribución a la eficacia del sistema de gestión ambiental y a la mejora del desempeño ambiental.</t>
  </si>
  <si>
    <t>Las implicancias de no cumplir los requisitos del sistema de gestión ambiental y las obligaciones de compliance.</t>
  </si>
  <si>
    <t>7.4 Comunicación</t>
  </si>
  <si>
    <t>Establecer, implementar y mantener procesos para las comunicaciones internas y externas pertinentes al sistema de gestión ambiental.</t>
  </si>
  <si>
    <t>Determinar qué, cuándo, a quién y cómo comunicar, considerando las obligaciones de compliance.</t>
  </si>
  <si>
    <t>Asegurar que la información ambiental comunicada sea coherente, fiable y que se responda a las comunicaciones pertinentes.</t>
  </si>
  <si>
    <t>Mantener disponible información documentada apropiada como evidencia de las comunicaciones.</t>
  </si>
  <si>
    <t>Comunicar internamente la información pertinente del sistema de gestión ambiental, incluidos los cambios que correspondan.</t>
  </si>
  <si>
    <t>Asegurar que las comunicaciones permitan que las personas contribuyan a la mejora continua.</t>
  </si>
  <si>
    <t>Comunicar externamente información pertinente del sistema de gestión ambiental según sus procesos de comunicación y obligaciones de compliance.</t>
  </si>
  <si>
    <t>7.5 Información documentada</t>
  </si>
  <si>
    <t>El sistema de gestión ambiental debe incluir:</t>
  </si>
  <si>
    <t>La información documentada requerida por ISO 14001:2026.</t>
  </si>
  <si>
    <t>La información documentada que la organización determine necesaria para asegurar la eficacia del sistema de gestión ambiental.</t>
  </si>
  <si>
    <t>Identificación y descripción apropiada, incluyendo título, fecha, autor, código u otra referencia aplicable.</t>
  </si>
  <si>
    <t>Formato y medio de soporte apropiado.</t>
  </si>
  <si>
    <t>Esté disponible, sea adecuada para su uso y esté protegida contra pérdida de confidencialidad, uso inadecuado o pérdida de integridad.</t>
  </si>
  <si>
    <t>Se controle su distribución, acceso, recuperación, uso, almacenamiento, preservación, legibilidad, cambios, conservación y disposición.</t>
  </si>
  <si>
    <t>La información documentada de origen externo necesaria para la planificación y operación del sistema de gestión ambiental se identifique y controle.</t>
  </si>
  <si>
    <t>8. Operación</t>
  </si>
  <si>
    <t>8.1 Planificación y control operacional</t>
  </si>
  <si>
    <t>Establecer, implementar, controlar y mantener los procesos necesarios para cumplir los requisitos del sistema de gestión ambiental e implementar las acciones planificadas.</t>
  </si>
  <si>
    <t>Establecer criterios operacionales y controlar los procesos de acuerdo con dichos criterios.</t>
  </si>
  <si>
    <t>Controlar los cambios planificados y revisar las consecuencias de los cambios no previstos, tomando acciones para mitigar efectos adversos cuando sea necesario.</t>
  </si>
  <si>
    <t>Controlar o influir en los procesos, productos y servicios suministrados externamente que sean pertinentes para los resultados previstos del sistema de gestión ambiental.</t>
  </si>
  <si>
    <t>Determinar y comunicar requisitos ambientales aplicables a compras, proveedores externos y contratistas.</t>
  </si>
  <si>
    <t>Considerar el ciclo de vida, incluyendo requisitos ambientales en diseño y desarrollo, transporte, entrega, uso, tratamiento al finalizar la vida útil y disposición final, cuando corresponda.</t>
  </si>
  <si>
    <t>Mantener disponible la información documentada necesaria para demostrar que los procesos se realizan según lo planificado.</t>
  </si>
  <si>
    <t>8.2 Preparación y respuesta ante emergencias</t>
  </si>
  <si>
    <t>Establecer, implementar y mantener procesos para prepararse y responder ante situaciones de emergencia potenciales identificadas.</t>
  </si>
  <si>
    <t>Planificar acciones para prevenir o mitigar impactos ambientales adversos, responder ante emergencias reales y controlar sus consecuencias.</t>
  </si>
  <si>
    <t>Poner a prueba, revisar y actualizar periódicamente las acciones de respuesta, especialmente después de emergencias o simulacros.</t>
  </si>
  <si>
    <t>Proporcionar información y formación pertinente sobre preparación y respuesta ante emergencias a las personas bajo su control y a las partes interesadas pertinentes, cuando corresponda.</t>
  </si>
  <si>
    <t>Mantener disponible la información documentada necesaria sobre los procesos de preparación y respuesta ante emergencias.</t>
  </si>
  <si>
    <t>9. Evaluación del desempeño</t>
  </si>
  <si>
    <t>9.1 Seguimiento, medición, análisis y evaluación</t>
  </si>
  <si>
    <t>9.1.1 Generalidades</t>
  </si>
  <si>
    <t>Evaluar su desempeño ambiental y la eficacia del sistema de gestión ambiental.</t>
  </si>
  <si>
    <t>Determinar qué necesita seguimiento, medición y análisis, así como los métodos necesarios para obtener resultados válidos.</t>
  </si>
  <si>
    <t>Definir criterios, indicadores y frecuencias para el seguimiento, medición, análisis y evaluación del desempeño ambiental.</t>
  </si>
  <si>
    <t>Asegurar que los equipos de seguimiento y medición estén calibrados o verificados, cuando corresponda.</t>
  </si>
  <si>
    <t>Comunicar el desempeño ambiental según sus procesos de comunicación y obligaciones de compliance.</t>
  </si>
  <si>
    <t>Mantener disponible información documentada apropiada como evidencia de los resultados de seguimiento, medición, análisis y evaluación.</t>
  </si>
  <si>
    <t>9.1.2 Evaluación de compliance</t>
  </si>
  <si>
    <t>Establecer, implementar y mantener procesos para evaluar periódicamente el cumplimiento de las obligaciones de compliance.</t>
  </si>
  <si>
    <t>Determinar la frecuencia de evaluación, evaluar el cumplimiento y tomar acciones cuando se identifiquen brechas o incumplimientos.</t>
  </si>
  <si>
    <t>Mantener conocimiento de su estado de cumplimiento y disponer de información documentada como evidencia de la evaluación.</t>
  </si>
  <si>
    <t>9.2 Auditoría interna</t>
  </si>
  <si>
    <t>9.2.1 Generalidades</t>
  </si>
  <si>
    <t>La organización debe llevar a cabo auditorías internas a intervalos planificados para proporcionar información sobre si el SGA:</t>
  </si>
  <si>
    <t>Es conforme con los requisitos propios de la organización y con ISO 14001:2026.</t>
  </si>
  <si>
    <t>Se implementa y mantiene eficazmente.</t>
  </si>
  <si>
    <t>9.2.2 Programa de auditoría interna</t>
  </si>
  <si>
    <t>Establecer, implementar y mantener uno o varios programas de auditoría interna que incluyan frecuencia, métodos, responsabilidades, planificación e informes.</t>
  </si>
  <si>
    <t>Considerar la importancia ambiental de los procesos, cambios que afectan a la organización y resultados de auditorías previas.</t>
  </si>
  <si>
    <t>Definir objetivos, criterios y alcance de cada auditoría.</t>
  </si>
  <si>
    <t>Seleccionar auditores y realizar auditorías asegurando objetividad e imparcialidad.</t>
  </si>
  <si>
    <t>Comunicar los resultados a las personas pertinentes de la dirección y mantener disponible la información documentada del programa, su implementación y resultados.</t>
  </si>
  <si>
    <t>9.3 Revisión por la dirección</t>
  </si>
  <si>
    <t>9.3.1 Generalidades</t>
  </si>
  <si>
    <t>Revisar el sistema de gestión ambiental a intervalos planificados para asegurar su conveniencia, adecuación y eficacia continuas.</t>
  </si>
  <si>
    <t>9.3.2 Entradas de la revisión por la dirección</t>
  </si>
  <si>
    <t xml:space="preserve">La revisión por la dirección debe incluir: </t>
  </si>
  <si>
    <t>El estado de acciones de revisiones previas y los cambios en contexto, partes interesadas, obligaciones de compliance, aspectos significativos, riesgos y oportunidades.</t>
  </si>
  <si>
    <t>El grado de logro de objetivos ambientales y la información sobre desempeño ambiental.</t>
  </si>
  <si>
    <t>Tendencias de no conformidades, acciones correctivas, seguimiento y medición, cumplimiento de obligaciones de compliance y resultados de auditorías.</t>
  </si>
  <si>
    <t>La adecuación de recursos, comunicaciones de partes interesadas, quejas y oportunidades de mejora continua.</t>
  </si>
  <si>
    <t>9.3.3 Resultados de la revisión por la dirección</t>
  </si>
  <si>
    <t>Las salidas de la revisión por la dirección deben incluir:</t>
  </si>
  <si>
    <t>Conclusiones sobre la conveniencia, adecuación y eficacia continuas del sistema de gestión ambiental.</t>
  </si>
  <si>
    <t>Decisiones sobre oportunidades de mejora, necesidades de cambios, recursos y acciones cuando no se hayan logrado los objetivos ambientales.</t>
  </si>
  <si>
    <t>Oportunidades para mejorar la integración del sistema de gestión ambiental en otros procesos de negocio e implicaciones para la dirección estratégica.</t>
  </si>
  <si>
    <t>Información documentada como evidencia de los resultados de la revisión por la dirección.</t>
  </si>
  <si>
    <t>10. Mejora</t>
  </si>
  <si>
    <t>10.1 Mejora continua</t>
  </si>
  <si>
    <t>Mejorar continuamente la conveniencia, adecuación y eficacia del sistema de gestión ambiental para mejorar el desempeño ambiental.</t>
  </si>
  <si>
    <t>Determinar oportunidades de mejora e implementar las acciones necesarias para lograr los resultados previstos del sistema de gestión ambiental.</t>
  </si>
  <si>
    <t>10.2 No conformidad y acción correctiva</t>
  </si>
  <si>
    <t xml:space="preserve">Cuando ocurra una no conformidad, la organización debe: </t>
  </si>
  <si>
    <t>Reaccionar ante la no conformidad, controlarla y corregirla, cuando sea aplicable.</t>
  </si>
  <si>
    <t>Abordar sus consecuencias, incluida la mitigación de impactos ambientales adversos cuando corresponda.</t>
  </si>
  <si>
    <t>Determinar y eliminar las causas de la no conformidad para evitar que vuelva a ocurrir o que ocurra en otra parte.</t>
  </si>
  <si>
    <t>Implementar las acciones necesarias, revisar su eficacia y realizar cambios al sistema de gestión ambiental cuando sea necesario.</t>
  </si>
  <si>
    <t>Asegurar que las acciones correctivas sean proporcionales a la significancia de los efectos de la no conformidad, incluidos los impactos ambientales.</t>
  </si>
  <si>
    <t>Mantener disponible información documentada sobre la no conformidad, las acciones tomadas y los resultados de las acciones correctivas.</t>
  </si>
  <si>
    <t>ANÁLISIS DE INFORMACIÓN</t>
  </si>
  <si>
    <t>TU NIVEL DE IMPLEMENTACIÓN GENERAL</t>
  </si>
  <si>
    <t>4. CONTEXTO DE LA ORGANIZACIÓN</t>
  </si>
  <si>
    <t>% IMPLEMENTACIÓN POR CLÁUSULA</t>
  </si>
  <si>
    <t>NUMERAL</t>
  </si>
  <si>
    <t>TOTALES</t>
  </si>
  <si>
    <t>CLÁUSULA</t>
  </si>
  <si>
    <t xml:space="preserve">% DE IMPLEMENTACIÓN </t>
  </si>
  <si>
    <t>4.1</t>
  </si>
  <si>
    <t>4.2</t>
  </si>
  <si>
    <t>4.3</t>
  </si>
  <si>
    <t>4.4</t>
  </si>
  <si>
    <t>8. OPERACIÓN</t>
  </si>
  <si>
    <t>PORCENTAJE DE IMPLEMENTACIÓN</t>
  </si>
  <si>
    <t>PORCENTAJE TOTAL DE IMPLEMENTACIÓN SGC</t>
  </si>
  <si>
    <t>BRECHA</t>
  </si>
  <si>
    <t>5. LIDERAZGO</t>
  </si>
  <si>
    <t>5.1</t>
  </si>
  <si>
    <t>5.2</t>
  </si>
  <si>
    <t>5.3</t>
  </si>
  <si>
    <t>6. PLANIFICACIÓN</t>
  </si>
  <si>
    <t>6.1</t>
  </si>
  <si>
    <t>6.2</t>
  </si>
  <si>
    <t>7. SOPORTE</t>
  </si>
  <si>
    <t>7.1</t>
  </si>
  <si>
    <t>7.2</t>
  </si>
  <si>
    <t>7.3</t>
  </si>
  <si>
    <t>7.4</t>
  </si>
  <si>
    <t>7.5</t>
  </si>
  <si>
    <t>8.1</t>
  </si>
  <si>
    <t>8.2</t>
  </si>
  <si>
    <t>9. EVALUACIÓN DEL DESEMPEÑO</t>
  </si>
  <si>
    <t>ANÁLISIS DE INFORMACIÓN E INTERPRETACIÓN</t>
  </si>
  <si>
    <t>9.1</t>
  </si>
  <si>
    <t>9.2</t>
  </si>
  <si>
    <t xml:space="preserve">Según el diagnóstico realizado y análisis de la situación actual de la empresa conforme a los requisitos de la norma ISO 14001:2015 se ha obtenido los siguientes resultados: La tabla "TOTAL DE IMPLEMENTACIÓN SGA" muestra que se ha obtenido un porcentaje de implementación de  </t>
  </si>
  <si>
    <t>9.3</t>
  </si>
  <si>
    <t xml:space="preserve"> encontrándose en un nivel de implementación </t>
  </si>
  <si>
    <t xml:space="preserve"> con respecto a los "DEBES" que la norma contempla en su totalidad dentro de cada uno de sus requisitos, asi mismo la imagen "PORCENTAJE DE IMPLEMENTACIÓN DEL SGAS" muestra que existe una brecha de implementación de </t>
  </si>
  <si>
    <t xml:space="preserve"> para el cumplimiento del 100% de la norma.</t>
  </si>
  <si>
    <t>10. MEJORA</t>
  </si>
  <si>
    <t>10.1</t>
  </si>
  <si>
    <t>10.2</t>
  </si>
  <si>
    <t>TOTAL DE IMPLEMENTACIÓN SGAS</t>
  </si>
  <si>
    <t>SGC</t>
  </si>
  <si>
    <t>TOTAL</t>
  </si>
  <si>
    <t>&gt;&gt;&gt;&gt;&gt;&gt;</t>
  </si>
  <si>
    <t>TU NIVEL EN ÉSTA CLÁUSULA ES DE NIVEL</t>
  </si>
  <si>
    <t>0% -No documentado / No existente</t>
  </si>
  <si>
    <t>25% - Aplicado / No documentado</t>
  </si>
  <si>
    <t>50%  - Documentado / No aplicado</t>
  </si>
  <si>
    <t>75% - Aplicado y documentado</t>
  </si>
  <si>
    <t>100% - Aplicado, documentado y controlado</t>
  </si>
  <si>
    <t>4.3 Determinación del alcance del sistema de gestión ambiental</t>
  </si>
  <si>
    <t>PORCENTAJE DE IMPLEMENTACIÓN CLÁUSULA 4</t>
  </si>
  <si>
    <t>ANÁLISIS DE INFORMACIÓN Y RECOMENDACIONES</t>
  </si>
  <si>
    <t>Se realiza un análisis del contexto de la organización desde un punto de vista ambiental, de igual manera las partes interesadas incluidas sus necesidades y expectativas. Determinar el alcance del SGA, así como el sistema de gestión ambiental; es decir, los procesos que serán parte de nuestro SGA</t>
  </si>
  <si>
    <t>5.3 Roles, responsabilidades y autoridades en la organización</t>
  </si>
  <si>
    <t>PORCENTAJE DE IMPLEMENTACIÓN CLÁUSULA 5</t>
  </si>
  <si>
    <t xml:space="preserve">Se establece, al igual que en todas las normas ISO, la importancia del involucramiento de la alta dirección para garantizar una correcta implementación, mantenimiento y mejora del SGA; además el establecimiento de la política ambiental la cuál debe de cumplir ciertos lineamientos indicados. Por último, la alta dirección también debe de garantizar que se definan y asignen  los roles, responsabilidades y autoridades de la organización. </t>
  </si>
  <si>
    <t>6. PLANIFICACION</t>
  </si>
  <si>
    <t>PORCENTAJE DE IMPLEMENTACIÓN CLÁUSULA 6</t>
  </si>
  <si>
    <t>Éste capítulo  hace referencia a la Planificación del SGA. La organización debe establecer que debe cumplir en relación a sus aspectos ambientales y requisitos legales, incluidos otros requisitos: así como los objetivos, metas y programas ambientales.</t>
  </si>
  <si>
    <t>7.APOYO</t>
  </si>
  <si>
    <t>7.3 Toma de conciencia y formación</t>
  </si>
  <si>
    <t>PORCENTAJE DE IMPLEMENTACIÓN CLÁUSULA 7</t>
  </si>
  <si>
    <t>Toda el capítulo aborda todo el apoyo que se necesita para cumplir con nuestros objetivos de SGA, incluida la competencia  que deben tener nuestros colaboradores, la toma de conciencia acerca del SGA, la comunicación tanto interna como externa y por supuesto el requisito de información documentada.</t>
  </si>
  <si>
    <t>PORCENTAJE DE IMPLEMENTACIÓN CLÁUSULA 8</t>
  </si>
  <si>
    <t>Este capítulo describe los requisitos que la organización debe cumplir respecto al manejo de sus aspectos ambientales identificados en el capítulo 6, como determinar controles para la generación de residuos, emisiones, etc. También se contempla el tener un plan de respuestas ante posibles emergencia, es decir, se debe tener una correcta planificación además de realizar simulacros en periodos planificados.</t>
  </si>
  <si>
    <t>9. EVALUACION DEL DESEMPEÑO</t>
  </si>
  <si>
    <t>PORCENTAJE DE IMPLEMENTACIÓN CLÁUSULA 9</t>
  </si>
  <si>
    <t>En este capítulo se define las actividades necesarias para verificar los resultados de nuestro SGA, estableciendo todo aquello que necesita ser medido como indicadores, evaluar el cumplimiento de nuestros requisitos legales, y dos métodos adicionales que sirven también para concoer el estado de nuestro SGA que es la auditoría interna y revisión por la dirección.</t>
  </si>
  <si>
    <t>10.1 Generalidades</t>
  </si>
  <si>
    <t>PORCENTAJE DE IMPLEMENTACIÓN CLÁUSULA 10</t>
  </si>
  <si>
    <t>Está relacionado con la mejora del propio sistema y del comportamiento ambiental. En base a los resultados de verificación y al desempeño de los procesos se deberán emprender las no conformidades y acciones correctivas oportunas.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</si>
</sst>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
  </numFmts>
  <fonts count="34"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sz val="11"/>
      <color rgb="FFFA7D00"/>
      <name val="Calibri"/>
      <family val="2"/>
      <scheme val="minor"/>
    </font>
    <font>
      <b/>
      <sz val="13"/>
      <color theme="3"/>
      <name val="Arial"/>
      <family val="2"/>
    </font>
    <font>
      <sz val="12"/>
      <color theme="1"/>
      <name val="Arial"/>
      <family val="2"/>
    </font>
    <font>
      <b/>
      <sz val="12"/>
      <color theme="1"/>
      <name val="Arial"/>
      <family val="2"/>
    </font>
    <font>
      <b/>
      <sz val="14"/>
      <name val="Arial"/>
      <family val="2"/>
    </font>
    <font>
      <b/>
      <sz val="16"/>
      <color theme="0"/>
      <name val="Arial"/>
      <family val="2"/>
    </font>
    <font>
      <b/>
      <sz val="10"/>
      <name val="Arial"/>
      <family val="2"/>
    </font>
    <font>
      <sz val="9"/>
      <name val="Arial"/>
      <family val="2"/>
    </font>
    <font>
      <b/>
      <sz val="11"/>
      <name val="Arial"/>
      <family val="2"/>
    </font>
    <font>
      <b/>
      <sz val="9"/>
      <name val="Arial"/>
      <family val="2"/>
    </font>
    <font>
      <sz val="10"/>
      <name val="Arial"/>
      <family val="2"/>
    </font>
    <font>
      <b/>
      <sz val="12"/>
      <color indexed="18"/>
      <name val="Arial"/>
      <family val="2"/>
    </font>
    <font>
      <sz val="7"/>
      <color theme="1"/>
      <name val="Arial"/>
      <family val="2"/>
    </font>
    <font>
      <sz val="12"/>
      <color theme="1"/>
      <name val="Times New Roman"/>
      <family val="1"/>
    </font>
    <font>
      <b/>
      <sz val="11"/>
      <color theme="0"/>
      <name val="Arial"/>
      <family val="2"/>
    </font>
    <font>
      <b/>
      <sz val="11"/>
      <color theme="1"/>
      <name val="Calibri"/>
      <family val="2"/>
      <scheme val="minor"/>
    </font>
    <font>
      <b/>
      <sz val="15"/>
      <color theme="0"/>
      <name val="Arial"/>
      <family val="2"/>
    </font>
    <font>
      <b/>
      <sz val="22"/>
      <color theme="0"/>
      <name val="Arial"/>
      <family val="2"/>
    </font>
    <font>
      <b/>
      <sz val="12"/>
      <name val="Arial"/>
      <family val="2"/>
    </font>
    <font>
      <b/>
      <sz val="12"/>
      <color theme="0"/>
      <name val="Arial"/>
      <family val="2"/>
    </font>
    <font>
      <b/>
      <sz val="12"/>
      <color theme="0"/>
      <name val="Calibri"/>
      <family val="2"/>
      <scheme val="minor"/>
    </font>
    <font>
      <b/>
      <sz val="16"/>
      <color theme="0"/>
      <name val="Times New Roman"/>
      <family val="1"/>
    </font>
    <font>
      <sz val="8"/>
      <color theme="1"/>
      <name val="Arial"/>
      <family val="2"/>
    </font>
    <font>
      <b/>
      <sz val="14"/>
      <color theme="0"/>
      <name val="Arial"/>
      <family val="2"/>
    </font>
    <font>
      <sz val="11"/>
      <color theme="1"/>
      <name val="Arial"/>
      <family val="2"/>
    </font>
    <font>
      <sz val="14"/>
      <color rgb="FF636C8B"/>
      <name val="Source Sans Pro"/>
      <family val="2"/>
    </font>
    <font>
      <b/>
      <sz val="12"/>
      <color theme="1"/>
      <name val="Calibri"/>
      <family val="2"/>
      <scheme val="minor"/>
    </font>
    <font>
      <b/>
      <sz val="14"/>
      <color theme="1"/>
      <name val="Calibri"/>
      <family val="2"/>
      <scheme val="minor"/>
    </font>
    <font>
      <b/>
      <sz val="16"/>
      <color theme="0"/>
      <name val="Calibri"/>
      <family val="2"/>
      <scheme val="minor"/>
    </font>
    <font>
      <sz val="14"/>
      <color theme="1"/>
      <name val="Arial"/>
      <family val="2"/>
    </font>
  </fonts>
  <fills count="9">
    <fill>
      <patternFill patternType="none"/>
    </fill>
    <fill>
      <patternFill patternType="gray125"/>
    </fill>
    <fill>
      <patternFill patternType="solid">
        <fgColor theme="4" tint="0.79998168889431442"/>
        <bgColor indexed="65"/>
      </patternFill>
    </fill>
    <fill>
      <patternFill patternType="solid">
        <fgColor theme="2" tint="0.59999389629810485"/>
        <bgColor indexed="64"/>
      </patternFill>
    </fill>
    <fill>
      <patternFill patternType="solid">
        <fgColor theme="0" tint="-0.499984740745262"/>
        <bgColor indexed="64"/>
      </patternFill>
    </fill>
    <fill>
      <patternFill patternType="solid">
        <fgColor rgb="FFA0A0A0"/>
        <bgColor indexed="64"/>
      </patternFill>
    </fill>
    <fill>
      <patternFill patternType="solid">
        <fgColor rgb="FFEEEEEE"/>
        <bgColor indexed="64"/>
      </patternFill>
    </fill>
    <fill>
      <patternFill patternType="solid">
        <fgColor theme="0"/>
        <bgColor indexed="64"/>
      </patternFill>
    </fill>
    <fill>
      <patternFill patternType="solid">
        <fgColor theme="0" tint="-0.14999847407452621"/>
        <bgColor indexed="64"/>
      </patternFill>
    </fill>
  </fills>
  <borders count="55">
    <border>
      <left/>
      <right/>
      <top/>
      <bottom/>
      <diagonal/>
    </border>
    <border>
      <left/>
      <right/>
      <top/>
      <bottom style="thick">
        <color theme="4"/>
      </bottom>
      <diagonal/>
    </border>
    <border>
      <left/>
      <right/>
      <top/>
      <bottom style="thick">
        <color theme="4" tint="0.499984740745262"/>
      </bottom>
      <diagonal/>
    </border>
    <border>
      <left/>
      <right/>
      <top/>
      <bottom style="double">
        <color rgb="FFFF8001"/>
      </bottom>
      <diagonal/>
    </border>
    <border>
      <left/>
      <right/>
      <top/>
      <bottom style="double">
        <color theme="1"/>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theme="3" tint="0.39997558519241921"/>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style="thin">
        <color theme="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style="double">
        <color indexed="64"/>
      </top>
      <bottom/>
      <diagonal/>
    </border>
    <border>
      <left/>
      <right/>
      <top/>
      <bottom style="double">
        <color indexed="64"/>
      </bottom>
      <diagonal/>
    </border>
    <border>
      <left/>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thin">
        <color theme="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2" fillId="0" borderId="1"/>
    <xf numFmtId="0" fontId="3" fillId="0" borderId="2"/>
    <xf numFmtId="0" fontId="4" fillId="0" borderId="3"/>
    <xf numFmtId="0" fontId="1" fillId="2" borderId="0"/>
    <xf numFmtId="9" fontId="1" fillId="0" borderId="0"/>
  </cellStyleXfs>
  <cellXfs count="214">
    <xf numFmtId="0" fontId="0" fillId="0" borderId="0" xfId="0"/>
    <xf numFmtId="0" fontId="0" fillId="0" borderId="0" xfId="0" applyAlignment="1">
      <alignment horizontal="center"/>
    </xf>
    <xf numFmtId="0" fontId="0" fillId="0" borderId="0" xfId="0" applyAlignment="1">
      <alignment wrapText="1"/>
    </xf>
    <xf numFmtId="3" fontId="0" fillId="0" borderId="0" xfId="0" applyNumberFormat="1" applyProtection="1">
      <protection hidden="1"/>
    </xf>
    <xf numFmtId="9" fontId="13" fillId="0" borderId="10" xfId="0" applyNumberFormat="1" applyFont="1" applyBorder="1" applyAlignment="1" applyProtection="1">
      <alignment horizontal="center"/>
      <protection hidden="1"/>
    </xf>
    <xf numFmtId="0" fontId="13" fillId="0" borderId="10" xfId="0" applyFont="1" applyBorder="1" applyAlignment="1" applyProtection="1">
      <alignment horizontal="center"/>
      <protection hidden="1"/>
    </xf>
    <xf numFmtId="0" fontId="10" fillId="0" borderId="10" xfId="0" applyFont="1" applyBorder="1" applyAlignment="1" applyProtection="1">
      <alignment horizontal="center"/>
      <protection hidden="1"/>
    </xf>
    <xf numFmtId="9" fontId="14" fillId="0" borderId="11" xfId="0" applyNumberFormat="1" applyFont="1" applyBorder="1" applyProtection="1">
      <protection hidden="1"/>
    </xf>
    <xf numFmtId="0" fontId="11" fillId="0" borderId="0" xfId="0" applyFont="1" applyAlignment="1" applyProtection="1">
      <alignment wrapText="1"/>
      <protection hidden="1"/>
    </xf>
    <xf numFmtId="1" fontId="14" fillId="0" borderId="12" xfId="0" applyNumberFormat="1" applyFont="1" applyBorder="1" applyProtection="1">
      <protection hidden="1"/>
    </xf>
    <xf numFmtId="9" fontId="14" fillId="0" borderId="13" xfId="0" applyNumberFormat="1" applyFont="1" applyBorder="1" applyProtection="1">
      <protection hidden="1"/>
    </xf>
    <xf numFmtId="1" fontId="14" fillId="0" borderId="0" xfId="0" applyNumberFormat="1" applyFont="1" applyProtection="1">
      <protection hidden="1"/>
    </xf>
    <xf numFmtId="3" fontId="14" fillId="0" borderId="0" xfId="0" applyNumberFormat="1" applyFont="1" applyProtection="1">
      <protection hidden="1"/>
    </xf>
    <xf numFmtId="0" fontId="13" fillId="0" borderId="0" xfId="0" applyFont="1" applyProtection="1">
      <protection hidden="1"/>
    </xf>
    <xf numFmtId="2" fontId="0" fillId="0" borderId="0" xfId="0" applyNumberFormat="1" applyProtection="1">
      <protection hidden="1"/>
    </xf>
    <xf numFmtId="9" fontId="14" fillId="0" borderId="0" xfId="0" applyNumberFormat="1" applyFont="1" applyProtection="1">
      <protection hidden="1"/>
    </xf>
    <xf numFmtId="0" fontId="15" fillId="0" borderId="0" xfId="0" applyFont="1" applyAlignment="1" applyProtection="1">
      <alignment horizontal="center"/>
      <protection hidden="1"/>
    </xf>
    <xf numFmtId="9" fontId="10" fillId="0" borderId="10" xfId="0" applyNumberFormat="1" applyFont="1" applyBorder="1" applyAlignment="1" applyProtection="1">
      <alignment horizontal="center"/>
      <protection hidden="1"/>
    </xf>
    <xf numFmtId="10" fontId="0" fillId="0" borderId="0" xfId="0" applyNumberFormat="1" applyProtection="1">
      <protection hidden="1"/>
    </xf>
    <xf numFmtId="1" fontId="14" fillId="0" borderId="20" xfId="0" applyNumberFormat="1" applyFont="1" applyBorder="1" applyProtection="1">
      <protection hidden="1"/>
    </xf>
    <xf numFmtId="9" fontId="14" fillId="0" borderId="21" xfId="0" applyNumberFormat="1" applyFont="1" applyBorder="1" applyProtection="1">
      <protection hidden="1"/>
    </xf>
    <xf numFmtId="9" fontId="0" fillId="0" borderId="0" xfId="5" applyFont="1" applyProtection="1">
      <protection hidden="1"/>
    </xf>
    <xf numFmtId="9" fontId="13" fillId="0" borderId="26" xfId="0" applyNumberFormat="1" applyFont="1" applyBorder="1" applyAlignment="1" applyProtection="1">
      <alignment horizontal="center"/>
      <protection hidden="1"/>
    </xf>
    <xf numFmtId="0" fontId="13" fillId="0" borderId="26" xfId="0" applyFont="1" applyBorder="1" applyAlignment="1" applyProtection="1">
      <alignment horizontal="center"/>
      <protection hidden="1"/>
    </xf>
    <xf numFmtId="0" fontId="17" fillId="0" borderId="0" xfId="0" applyFont="1" applyProtection="1">
      <protection hidden="1"/>
    </xf>
    <xf numFmtId="9" fontId="0" fillId="0" borderId="0" xfId="0" applyNumberFormat="1" applyProtection="1">
      <protection hidden="1"/>
    </xf>
    <xf numFmtId="0" fontId="0" fillId="0" borderId="0" xfId="0" applyAlignment="1" applyProtection="1">
      <alignment wrapText="1"/>
      <protection hidden="1"/>
    </xf>
    <xf numFmtId="0" fontId="10" fillId="0" borderId="0" xfId="0" applyFont="1" applyAlignment="1" applyProtection="1">
      <alignment horizontal="center"/>
      <protection hidden="1"/>
    </xf>
    <xf numFmtId="164" fontId="10" fillId="0" borderId="0" xfId="0" applyNumberFormat="1" applyFont="1" applyProtection="1">
      <protection hidden="1"/>
    </xf>
    <xf numFmtId="165" fontId="0" fillId="0" borderId="0" xfId="5" applyNumberFormat="1" applyFont="1" applyProtection="1">
      <protection hidden="1"/>
    </xf>
    <xf numFmtId="9" fontId="7" fillId="3" borderId="11" xfId="4" applyNumberFormat="1" applyFont="1" applyFill="1" applyBorder="1" applyAlignment="1">
      <alignment horizontal="center" vertical="center"/>
    </xf>
    <xf numFmtId="0" fontId="6" fillId="3" borderId="32" xfId="4" applyFont="1" applyFill="1" applyBorder="1" applyAlignment="1">
      <alignment horizontal="center" vertical="center"/>
    </xf>
    <xf numFmtId="0" fontId="7" fillId="3" borderId="24" xfId="4" applyFont="1" applyFill="1" applyBorder="1" applyAlignment="1">
      <alignment horizontal="center" vertical="center"/>
    </xf>
    <xf numFmtId="0" fontId="6" fillId="3" borderId="35" xfId="4" applyFont="1" applyFill="1" applyBorder="1" applyAlignment="1">
      <alignment horizontal="center" vertical="center"/>
    </xf>
    <xf numFmtId="9" fontId="7" fillId="3" borderId="36" xfId="4" applyNumberFormat="1" applyFont="1" applyFill="1" applyBorder="1" applyAlignment="1">
      <alignment horizontal="center" vertical="center"/>
    </xf>
    <xf numFmtId="0" fontId="6" fillId="3" borderId="37" xfId="4" applyFont="1" applyFill="1" applyBorder="1" applyAlignment="1">
      <alignment horizontal="center" vertical="center"/>
    </xf>
    <xf numFmtId="0" fontId="5" fillId="3" borderId="16" xfId="2" applyFont="1" applyFill="1" applyBorder="1" applyAlignment="1">
      <alignment horizontal="center" vertical="center"/>
    </xf>
    <xf numFmtId="0" fontId="5" fillId="3" borderId="7" xfId="2" applyFont="1" applyFill="1" applyBorder="1" applyAlignment="1">
      <alignment horizontal="center" vertical="center"/>
    </xf>
    <xf numFmtId="0" fontId="6" fillId="0" borderId="0" xfId="3" applyFont="1" applyBorder="1" applyAlignment="1">
      <alignment horizontal="center"/>
    </xf>
    <xf numFmtId="0" fontId="6" fillId="0" borderId="38" xfId="0" applyFont="1" applyBorder="1" applyAlignment="1">
      <alignment horizontal="center"/>
    </xf>
    <xf numFmtId="0" fontId="6" fillId="0" borderId="39" xfId="3" applyFont="1" applyBorder="1" applyAlignment="1">
      <alignment horizontal="left"/>
    </xf>
    <xf numFmtId="0" fontId="6" fillId="0" borderId="39" xfId="3" applyFont="1" applyBorder="1" applyAlignment="1">
      <alignment horizontal="center"/>
    </xf>
    <xf numFmtId="0" fontId="0" fillId="0" borderId="0" xfId="0" applyAlignment="1" applyProtection="1">
      <alignment vertical="center"/>
      <protection hidden="1"/>
    </xf>
    <xf numFmtId="3" fontId="14" fillId="0" borderId="36" xfId="0" applyNumberFormat="1" applyFont="1" applyBorder="1" applyProtection="1">
      <protection hidden="1"/>
    </xf>
    <xf numFmtId="0" fontId="19" fillId="5" borderId="27" xfId="0" applyFont="1" applyFill="1" applyBorder="1" applyAlignment="1" applyProtection="1">
      <alignment horizontal="center" vertical="center"/>
      <protection hidden="1"/>
    </xf>
    <xf numFmtId="0" fontId="19" fillId="5" borderId="12" xfId="0" applyFont="1" applyFill="1" applyBorder="1" applyAlignment="1" applyProtection="1">
      <alignment horizontal="center" vertical="center" wrapText="1"/>
      <protection hidden="1"/>
    </xf>
    <xf numFmtId="10" fontId="0" fillId="0" borderId="41" xfId="0" applyNumberFormat="1" applyBorder="1" applyAlignment="1" applyProtection="1">
      <alignment horizontal="center"/>
      <protection hidden="1"/>
    </xf>
    <xf numFmtId="10" fontId="0" fillId="0" borderId="5" xfId="0" applyNumberFormat="1" applyBorder="1" applyAlignment="1" applyProtection="1">
      <alignment horizontal="center"/>
      <protection hidden="1"/>
    </xf>
    <xf numFmtId="10" fontId="0" fillId="0" borderId="42" xfId="0" applyNumberFormat="1" applyBorder="1" applyAlignment="1" applyProtection="1">
      <alignment horizontal="center"/>
      <protection hidden="1"/>
    </xf>
    <xf numFmtId="0" fontId="19" fillId="5" borderId="9" xfId="0" applyFont="1" applyFill="1" applyBorder="1" applyAlignment="1" applyProtection="1">
      <alignment horizontal="center" vertical="center"/>
      <protection hidden="1"/>
    </xf>
    <xf numFmtId="0" fontId="0" fillId="0" borderId="10" xfId="0" applyBorder="1" applyAlignment="1" applyProtection="1">
      <alignment horizontal="center"/>
      <protection hidden="1"/>
    </xf>
    <xf numFmtId="0" fontId="0" fillId="0" borderId="43" xfId="0" applyBorder="1" applyAlignment="1" applyProtection="1">
      <alignment horizontal="center"/>
      <protection hidden="1"/>
    </xf>
    <xf numFmtId="0" fontId="0" fillId="0" borderId="44" xfId="0" applyBorder="1" applyAlignment="1" applyProtection="1">
      <alignment horizontal="center"/>
      <protection hidden="1"/>
    </xf>
    <xf numFmtId="10" fontId="0" fillId="0" borderId="45" xfId="0" applyNumberFormat="1" applyBorder="1" applyAlignment="1" applyProtection="1">
      <alignment horizontal="center"/>
      <protection hidden="1"/>
    </xf>
    <xf numFmtId="0" fontId="24" fillId="5" borderId="12" xfId="0" applyFont="1" applyFill="1" applyBorder="1" applyProtection="1">
      <protection hidden="1"/>
    </xf>
    <xf numFmtId="164" fontId="22" fillId="6" borderId="40" xfId="0" applyNumberFormat="1" applyFont="1" applyFill="1" applyBorder="1" applyAlignment="1" applyProtection="1">
      <alignment horizontal="center" vertical="center"/>
      <protection hidden="1"/>
    </xf>
    <xf numFmtId="164" fontId="22" fillId="6" borderId="33" xfId="0" applyNumberFormat="1" applyFont="1" applyFill="1" applyBorder="1" applyAlignment="1" applyProtection="1">
      <alignment horizontal="center" vertical="center"/>
      <protection hidden="1"/>
    </xf>
    <xf numFmtId="9" fontId="13" fillId="6" borderId="10" xfId="0" applyNumberFormat="1" applyFont="1" applyFill="1" applyBorder="1" applyAlignment="1" applyProtection="1">
      <alignment horizontal="center"/>
      <protection hidden="1"/>
    </xf>
    <xf numFmtId="0" fontId="13" fillId="6" borderId="10" xfId="0" applyFont="1" applyFill="1" applyBorder="1" applyAlignment="1" applyProtection="1">
      <alignment horizontal="center"/>
      <protection hidden="1"/>
    </xf>
    <xf numFmtId="0" fontId="10" fillId="6" borderId="10" xfId="0" applyFont="1" applyFill="1" applyBorder="1" applyAlignment="1" applyProtection="1">
      <alignment horizontal="center"/>
      <protection hidden="1"/>
    </xf>
    <xf numFmtId="1" fontId="14" fillId="6" borderId="12" xfId="0" applyNumberFormat="1" applyFont="1" applyFill="1" applyBorder="1" applyProtection="1">
      <protection hidden="1"/>
    </xf>
    <xf numFmtId="3" fontId="14" fillId="6" borderId="15" xfId="0" applyNumberFormat="1" applyFont="1" applyFill="1" applyBorder="1" applyAlignment="1" applyProtection="1">
      <alignment horizontal="center"/>
      <protection hidden="1"/>
    </xf>
    <xf numFmtId="3" fontId="0" fillId="6" borderId="15" xfId="0" applyNumberFormat="1" applyFill="1" applyBorder="1" applyAlignment="1" applyProtection="1">
      <alignment horizontal="center"/>
      <protection hidden="1"/>
    </xf>
    <xf numFmtId="1" fontId="14" fillId="6" borderId="15" xfId="0" applyNumberFormat="1" applyFont="1" applyFill="1" applyBorder="1" applyProtection="1">
      <protection hidden="1"/>
    </xf>
    <xf numFmtId="3" fontId="14" fillId="6" borderId="12" xfId="0" applyNumberFormat="1" applyFont="1" applyFill="1" applyBorder="1" applyAlignment="1" applyProtection="1">
      <alignment horizontal="center"/>
      <protection hidden="1"/>
    </xf>
    <xf numFmtId="10" fontId="0" fillId="0" borderId="12" xfId="0" applyNumberFormat="1" applyBorder="1" applyAlignment="1" applyProtection="1">
      <alignment horizontal="center"/>
      <protection hidden="1"/>
    </xf>
    <xf numFmtId="0" fontId="17" fillId="0" borderId="0" xfId="0" applyFont="1" applyAlignment="1" applyProtection="1">
      <alignment vertical="center" wrapText="1"/>
      <protection hidden="1"/>
    </xf>
    <xf numFmtId="0" fontId="25" fillId="7" borderId="0" xfId="0" applyFont="1" applyFill="1" applyProtection="1">
      <protection hidden="1"/>
    </xf>
    <xf numFmtId="9" fontId="12" fillId="6" borderId="8" xfId="0" applyNumberFormat="1" applyFont="1" applyFill="1" applyBorder="1" applyAlignment="1" applyProtection="1">
      <alignment horizontal="center"/>
      <protection hidden="1"/>
    </xf>
    <xf numFmtId="9" fontId="12" fillId="6" borderId="9" xfId="0" applyNumberFormat="1" applyFont="1" applyFill="1" applyBorder="1" applyAlignment="1" applyProtection="1">
      <alignment horizontal="center"/>
      <protection hidden="1"/>
    </xf>
    <xf numFmtId="9" fontId="14" fillId="0" borderId="21" xfId="0" applyNumberFormat="1" applyFont="1" applyBorder="1" applyAlignment="1" applyProtection="1">
      <alignment vertical="center" wrapText="1"/>
      <protection hidden="1"/>
    </xf>
    <xf numFmtId="1" fontId="14" fillId="0" borderId="20" xfId="0" applyNumberFormat="1" applyFont="1" applyBorder="1" applyAlignment="1" applyProtection="1">
      <alignment vertical="center" wrapText="1"/>
      <protection hidden="1"/>
    </xf>
    <xf numFmtId="3" fontId="14" fillId="6" borderId="15" xfId="0" applyNumberFormat="1" applyFont="1" applyFill="1" applyBorder="1" applyAlignment="1" applyProtection="1">
      <alignment horizontal="center" vertical="center"/>
      <protection hidden="1"/>
    </xf>
    <xf numFmtId="3" fontId="0" fillId="6" borderId="15" xfId="0" applyNumberFormat="1" applyFill="1" applyBorder="1" applyAlignment="1" applyProtection="1">
      <alignment horizontal="center" vertical="center"/>
      <protection hidden="1"/>
    </xf>
    <xf numFmtId="1" fontId="10" fillId="6" borderId="12" xfId="0" applyNumberFormat="1" applyFont="1" applyFill="1" applyBorder="1" applyProtection="1">
      <protection hidden="1"/>
    </xf>
    <xf numFmtId="3" fontId="14" fillId="0" borderId="28" xfId="0" applyNumberFormat="1" applyFont="1" applyBorder="1" applyAlignment="1" applyProtection="1">
      <alignment horizontal="center" vertical="center"/>
      <protection hidden="1"/>
    </xf>
    <xf numFmtId="3" fontId="14" fillId="0" borderId="30" xfId="0" applyNumberFormat="1" applyFont="1" applyBorder="1" applyAlignment="1" applyProtection="1">
      <alignment horizontal="center" vertical="center"/>
      <protection hidden="1"/>
    </xf>
    <xf numFmtId="3" fontId="14" fillId="0" borderId="47" xfId="0" applyNumberFormat="1" applyFont="1" applyBorder="1" applyAlignment="1" applyProtection="1">
      <alignment horizontal="center" vertical="center"/>
      <protection hidden="1"/>
    </xf>
    <xf numFmtId="3" fontId="14" fillId="0" borderId="43" xfId="0" applyNumberFormat="1" applyFont="1" applyBorder="1" applyAlignment="1" applyProtection="1">
      <alignment horizontal="center" vertical="center"/>
      <protection hidden="1"/>
    </xf>
    <xf numFmtId="3" fontId="14" fillId="0" borderId="23" xfId="0" applyNumberFormat="1" applyFont="1" applyBorder="1" applyAlignment="1" applyProtection="1">
      <alignment horizontal="center" vertical="center"/>
      <protection hidden="1"/>
    </xf>
    <xf numFmtId="3" fontId="14" fillId="0" borderId="11" xfId="0" applyNumberFormat="1" applyFont="1" applyBorder="1" applyAlignment="1" applyProtection="1">
      <alignment horizontal="center" vertical="center"/>
      <protection hidden="1"/>
    </xf>
    <xf numFmtId="0" fontId="26" fillId="6" borderId="27" xfId="4" applyFont="1" applyFill="1" applyBorder="1" applyAlignment="1">
      <alignment horizontal="center" vertical="center" wrapText="1"/>
    </xf>
    <xf numFmtId="0" fontId="26" fillId="6" borderId="12" xfId="4" applyFont="1" applyFill="1" applyBorder="1" applyAlignment="1">
      <alignment horizontal="center" vertical="center" wrapText="1"/>
    </xf>
    <xf numFmtId="0" fontId="26" fillId="6" borderId="7" xfId="4" applyFont="1" applyFill="1" applyBorder="1" applyAlignment="1">
      <alignment horizontal="center" vertical="center" wrapText="1"/>
    </xf>
    <xf numFmtId="3" fontId="14" fillId="0" borderId="29" xfId="0" applyNumberFormat="1" applyFont="1" applyBorder="1" applyAlignment="1" applyProtection="1">
      <alignment horizontal="center" vertical="center"/>
      <protection hidden="1"/>
    </xf>
    <xf numFmtId="3" fontId="14" fillId="0" borderId="32" xfId="0" applyNumberFormat="1" applyFont="1" applyBorder="1" applyAlignment="1" applyProtection="1">
      <alignment horizontal="center" vertical="center"/>
      <protection hidden="1"/>
    </xf>
    <xf numFmtId="0" fontId="17" fillId="0" borderId="0" xfId="0" applyFont="1" applyAlignment="1" applyProtection="1">
      <alignment vertical="top" wrapText="1"/>
      <protection hidden="1"/>
    </xf>
    <xf numFmtId="1" fontId="14" fillId="0" borderId="21" xfId="0" applyNumberFormat="1" applyFont="1" applyBorder="1" applyAlignment="1" applyProtection="1">
      <alignment vertical="center" wrapText="1"/>
      <protection hidden="1"/>
    </xf>
    <xf numFmtId="9" fontId="14" fillId="0" borderId="21" xfId="0" applyNumberFormat="1" applyFont="1" applyBorder="1" applyAlignment="1" applyProtection="1">
      <alignment vertical="center"/>
      <protection hidden="1"/>
    </xf>
    <xf numFmtId="1" fontId="14" fillId="0" borderId="20" xfId="0" applyNumberFormat="1" applyFont="1" applyBorder="1" applyAlignment="1" applyProtection="1">
      <alignment vertical="center"/>
      <protection hidden="1"/>
    </xf>
    <xf numFmtId="1" fontId="14" fillId="0" borderId="22" xfId="0" applyNumberFormat="1" applyFont="1" applyBorder="1" applyAlignment="1" applyProtection="1">
      <alignment vertical="center"/>
      <protection hidden="1"/>
    </xf>
    <xf numFmtId="0" fontId="6" fillId="0" borderId="0" xfId="0" applyFont="1" applyAlignment="1">
      <alignment vertical="top" wrapText="1"/>
    </xf>
    <xf numFmtId="0" fontId="16" fillId="6" borderId="16" xfId="4" applyFont="1" applyFill="1" applyBorder="1" applyAlignment="1">
      <alignment horizontal="left" vertical="center" wrapText="1"/>
    </xf>
    <xf numFmtId="0" fontId="16" fillId="6" borderId="17" xfId="4" applyFont="1" applyFill="1" applyBorder="1" applyAlignment="1">
      <alignment horizontal="left" vertical="center" wrapText="1"/>
    </xf>
    <xf numFmtId="0" fontId="16" fillId="6" borderId="17" xfId="4" applyFont="1" applyFill="1" applyBorder="1" applyAlignment="1">
      <alignment horizontal="center" vertical="center" wrapText="1"/>
    </xf>
    <xf numFmtId="0" fontId="16" fillId="6" borderId="18" xfId="4" applyFont="1" applyFill="1" applyBorder="1" applyAlignment="1">
      <alignment horizontal="center" vertical="center" wrapText="1"/>
    </xf>
    <xf numFmtId="3" fontId="14" fillId="6" borderId="23" xfId="0" applyNumberFormat="1" applyFont="1" applyFill="1" applyBorder="1" applyAlignment="1" applyProtection="1">
      <alignment horizontal="center"/>
      <protection hidden="1"/>
    </xf>
    <xf numFmtId="0" fontId="0" fillId="0" borderId="0" xfId="0" applyAlignment="1" applyProtection="1">
      <alignment vertical="top" wrapText="1"/>
      <protection hidden="1"/>
    </xf>
    <xf numFmtId="0" fontId="0" fillId="0" borderId="40" xfId="0" applyBorder="1" applyAlignment="1" applyProtection="1">
      <alignment vertical="top" wrapText="1"/>
      <protection hidden="1"/>
    </xf>
    <xf numFmtId="3" fontId="14" fillId="6" borderId="12" xfId="0" applyNumberFormat="1" applyFont="1" applyFill="1" applyBorder="1" applyAlignment="1" applyProtection="1">
      <alignment horizontal="center" vertical="center"/>
      <protection hidden="1"/>
    </xf>
    <xf numFmtId="3" fontId="0" fillId="6" borderId="12" xfId="0" applyNumberFormat="1" applyFill="1" applyBorder="1" applyAlignment="1" applyProtection="1">
      <alignment horizontal="center" vertical="center"/>
      <protection hidden="1"/>
    </xf>
    <xf numFmtId="0" fontId="10" fillId="6" borderId="9" xfId="0" applyFont="1" applyFill="1" applyBorder="1" applyAlignment="1" applyProtection="1">
      <alignment horizontal="center"/>
      <protection hidden="1"/>
    </xf>
    <xf numFmtId="9" fontId="13" fillId="6" borderId="12" xfId="0" applyNumberFormat="1" applyFont="1" applyFill="1" applyBorder="1" applyAlignment="1" applyProtection="1">
      <alignment horizontal="center"/>
      <protection hidden="1"/>
    </xf>
    <xf numFmtId="0" fontId="13" fillId="6" borderId="12" xfId="0" applyFont="1" applyFill="1" applyBorder="1" applyAlignment="1" applyProtection="1">
      <alignment horizontal="center"/>
      <protection hidden="1"/>
    </xf>
    <xf numFmtId="3" fontId="14" fillId="0" borderId="36" xfId="0" applyNumberFormat="1" applyFont="1" applyBorder="1" applyAlignment="1" applyProtection="1">
      <alignment horizontal="center" vertical="center"/>
      <protection hidden="1"/>
    </xf>
    <xf numFmtId="3" fontId="14" fillId="0" borderId="50" xfId="0" applyNumberFormat="1" applyFont="1" applyBorder="1" applyAlignment="1" applyProtection="1">
      <alignment horizontal="center" vertical="center"/>
      <protection hidden="1"/>
    </xf>
    <xf numFmtId="3" fontId="14" fillId="6" borderId="27" xfId="0" applyNumberFormat="1" applyFont="1" applyFill="1" applyBorder="1" applyAlignment="1" applyProtection="1">
      <alignment horizontal="center" vertical="center"/>
      <protection hidden="1"/>
    </xf>
    <xf numFmtId="3" fontId="14" fillId="6" borderId="6" xfId="0" applyNumberFormat="1" applyFont="1" applyFill="1" applyBorder="1" applyAlignment="1" applyProtection="1">
      <alignment horizontal="center" vertical="center"/>
      <protection hidden="1"/>
    </xf>
    <xf numFmtId="3" fontId="14" fillId="0" borderId="9" xfId="0" applyNumberFormat="1" applyFont="1" applyBorder="1" applyAlignment="1" applyProtection="1">
      <alignment horizontal="center" vertical="center"/>
      <protection hidden="1"/>
    </xf>
    <xf numFmtId="3" fontId="14" fillId="0" borderId="10" xfId="0" applyNumberFormat="1" applyFont="1" applyBorder="1" applyAlignment="1" applyProtection="1">
      <alignment horizontal="center" vertical="center"/>
      <protection hidden="1"/>
    </xf>
    <xf numFmtId="3" fontId="0" fillId="0" borderId="29" xfId="0" applyNumberFormat="1" applyBorder="1" applyAlignment="1" applyProtection="1">
      <alignment horizontal="center" vertical="center"/>
      <protection hidden="1"/>
    </xf>
    <xf numFmtId="3" fontId="0" fillId="0" borderId="32" xfId="0" applyNumberFormat="1" applyBorder="1" applyAlignment="1" applyProtection="1">
      <alignment horizontal="center" vertical="center"/>
      <protection hidden="1"/>
    </xf>
    <xf numFmtId="3" fontId="0" fillId="0" borderId="48" xfId="0" applyNumberFormat="1" applyBorder="1" applyAlignment="1" applyProtection="1">
      <alignment horizontal="center" vertical="center"/>
      <protection hidden="1"/>
    </xf>
    <xf numFmtId="3" fontId="0" fillId="0" borderId="10" xfId="0" applyNumberFormat="1" applyBorder="1" applyAlignment="1" applyProtection="1">
      <alignment horizontal="center" vertical="center"/>
      <protection hidden="1"/>
    </xf>
    <xf numFmtId="3" fontId="0" fillId="0" borderId="43" xfId="0" applyNumberFormat="1" applyBorder="1" applyAlignment="1" applyProtection="1">
      <alignment horizontal="center" vertical="center"/>
      <protection hidden="1"/>
    </xf>
    <xf numFmtId="3" fontId="14" fillId="0" borderId="28" xfId="0" applyNumberFormat="1" applyFont="1" applyBorder="1" applyAlignment="1" applyProtection="1">
      <alignment horizontal="center"/>
      <protection hidden="1"/>
    </xf>
    <xf numFmtId="3" fontId="14" fillId="0" borderId="30" xfId="0" applyNumberFormat="1" applyFont="1" applyBorder="1" applyAlignment="1" applyProtection="1">
      <alignment horizontal="center"/>
      <protection hidden="1"/>
    </xf>
    <xf numFmtId="3" fontId="0" fillId="0" borderId="29" xfId="0" applyNumberFormat="1" applyBorder="1" applyAlignment="1" applyProtection="1">
      <alignment horizontal="center"/>
      <protection hidden="1"/>
    </xf>
    <xf numFmtId="3" fontId="0" fillId="0" borderId="32" xfId="0" applyNumberFormat="1" applyBorder="1" applyAlignment="1" applyProtection="1">
      <alignment horizontal="center"/>
      <protection hidden="1"/>
    </xf>
    <xf numFmtId="9" fontId="13" fillId="6" borderId="9" xfId="0" applyNumberFormat="1" applyFont="1" applyFill="1" applyBorder="1" applyAlignment="1" applyProtection="1">
      <alignment horizontal="center"/>
      <protection hidden="1"/>
    </xf>
    <xf numFmtId="3" fontId="0" fillId="0" borderId="12" xfId="0" applyNumberFormat="1" applyBorder="1" applyAlignment="1" applyProtection="1">
      <alignment horizontal="center"/>
      <protection hidden="1"/>
    </xf>
    <xf numFmtId="3" fontId="0" fillId="0" borderId="6" xfId="0" applyNumberFormat="1" applyBorder="1" applyAlignment="1" applyProtection="1">
      <alignment horizontal="center"/>
      <protection hidden="1"/>
    </xf>
    <xf numFmtId="0" fontId="14" fillId="0" borderId="12" xfId="0" applyFont="1" applyBorder="1" applyProtection="1">
      <protection hidden="1"/>
    </xf>
    <xf numFmtId="9" fontId="7" fillId="3" borderId="49" xfId="4" applyNumberFormat="1" applyFont="1" applyFill="1" applyBorder="1" applyAlignment="1">
      <alignment horizontal="center" vertical="center"/>
    </xf>
    <xf numFmtId="0" fontId="0" fillId="0" borderId="40" xfId="0" applyBorder="1"/>
    <xf numFmtId="0" fontId="6" fillId="3" borderId="14" xfId="4" applyFont="1" applyFill="1" applyBorder="1" applyAlignment="1">
      <alignment horizontal="center" vertical="center"/>
    </xf>
    <xf numFmtId="0" fontId="29" fillId="0" borderId="0" xfId="0" applyFont="1"/>
    <xf numFmtId="0" fontId="0" fillId="0" borderId="52" xfId="0" applyBorder="1" applyAlignment="1">
      <alignment horizontal="left" vertical="center" wrapText="1"/>
    </xf>
    <xf numFmtId="0" fontId="0" fillId="0" borderId="52" xfId="0" applyBorder="1" applyAlignment="1">
      <alignment vertical="center" wrapText="1"/>
    </xf>
    <xf numFmtId="0" fontId="6" fillId="0" borderId="52" xfId="0" applyFont="1" applyBorder="1" applyAlignment="1">
      <alignment horizontal="center" vertical="center" wrapText="1"/>
    </xf>
    <xf numFmtId="0" fontId="19" fillId="8" borderId="52" xfId="0" applyFont="1" applyFill="1" applyBorder="1" applyAlignment="1">
      <alignment horizontal="center" vertical="center" wrapText="1"/>
    </xf>
    <xf numFmtId="0" fontId="0" fillId="0" borderId="52" xfId="0" applyBorder="1" applyAlignment="1">
      <alignment horizontal="center" vertical="center" wrapText="1"/>
    </xf>
    <xf numFmtId="9" fontId="19" fillId="8" borderId="52" xfId="5" applyFont="1" applyFill="1" applyBorder="1" applyAlignment="1">
      <alignment horizontal="center" vertical="center"/>
    </xf>
    <xf numFmtId="0" fontId="30" fillId="8" borderId="52" xfId="0" applyFont="1" applyFill="1" applyBorder="1" applyAlignment="1">
      <alignment vertical="center" wrapText="1"/>
    </xf>
    <xf numFmtId="0" fontId="33" fillId="0" borderId="0" xfId="3" applyFont="1" applyBorder="1" applyAlignment="1">
      <alignment horizontal="left" vertical="center"/>
    </xf>
    <xf numFmtId="0" fontId="33" fillId="0" borderId="38" xfId="0" applyFont="1" applyBorder="1" applyAlignment="1">
      <alignment vertical="center"/>
    </xf>
    <xf numFmtId="0" fontId="33" fillId="0" borderId="39" xfId="3" applyFont="1" applyBorder="1" applyAlignment="1">
      <alignment horizontal="left" vertical="center"/>
    </xf>
    <xf numFmtId="0" fontId="33" fillId="0" borderId="0" xfId="0" applyFont="1" applyAlignment="1">
      <alignment horizontal="left" vertical="center"/>
    </xf>
    <xf numFmtId="0" fontId="6" fillId="0" borderId="0" xfId="0" applyFont="1" applyAlignment="1">
      <alignment horizontal="center"/>
    </xf>
    <xf numFmtId="0" fontId="6" fillId="0" borderId="0" xfId="0" applyFont="1"/>
    <xf numFmtId="0" fontId="6" fillId="0" borderId="0" xfId="0" applyFont="1" applyAlignment="1">
      <alignment vertical="center"/>
    </xf>
    <xf numFmtId="0" fontId="0" fillId="0" borderId="0" xfId="0" applyProtection="1">
      <protection hidden="1"/>
    </xf>
    <xf numFmtId="0" fontId="0" fillId="0" borderId="46" xfId="0" applyBorder="1" applyProtection="1">
      <protection hidden="1"/>
    </xf>
    <xf numFmtId="0" fontId="11" fillId="0" borderId="0" xfId="0" applyFont="1" applyProtection="1">
      <protection hidden="1"/>
    </xf>
    <xf numFmtId="9" fontId="13" fillId="6" borderId="52" xfId="0" applyNumberFormat="1" applyFont="1" applyFill="1" applyBorder="1" applyAlignment="1" applyProtection="1">
      <alignment horizontal="center" vertical="center"/>
      <protection hidden="1"/>
    </xf>
    <xf numFmtId="0" fontId="13" fillId="6" borderId="52" xfId="0" applyFont="1" applyFill="1" applyBorder="1" applyAlignment="1" applyProtection="1">
      <alignment horizontal="center" vertical="center"/>
      <protection hidden="1"/>
    </xf>
    <xf numFmtId="0" fontId="10" fillId="6" borderId="52" xfId="0" applyFont="1" applyFill="1" applyBorder="1" applyAlignment="1" applyProtection="1">
      <alignment horizontal="center" vertical="center"/>
      <protection hidden="1"/>
    </xf>
    <xf numFmtId="9" fontId="14" fillId="0" borderId="52" xfId="0" applyNumberFormat="1" applyFont="1" applyBorder="1" applyProtection="1">
      <protection hidden="1"/>
    </xf>
    <xf numFmtId="3" fontId="14" fillId="0" borderId="52" xfId="0" applyNumberFormat="1" applyFont="1" applyBorder="1" applyAlignment="1" applyProtection="1">
      <alignment horizontal="center"/>
      <protection hidden="1"/>
    </xf>
    <xf numFmtId="1" fontId="14" fillId="0" borderId="52" xfId="0" applyNumberFormat="1" applyFont="1" applyBorder="1" applyProtection="1">
      <protection hidden="1"/>
    </xf>
    <xf numFmtId="1" fontId="14" fillId="6" borderId="52" xfId="0" applyNumberFormat="1" applyFont="1" applyFill="1" applyBorder="1" applyProtection="1">
      <protection hidden="1"/>
    </xf>
    <xf numFmtId="3" fontId="14" fillId="6" borderId="52" xfId="0" applyNumberFormat="1" applyFont="1" applyFill="1" applyBorder="1" applyAlignment="1" applyProtection="1">
      <alignment horizontal="center"/>
      <protection hidden="1"/>
    </xf>
    <xf numFmtId="3" fontId="0" fillId="6" borderId="52" xfId="0" applyNumberFormat="1" applyFill="1" applyBorder="1" applyAlignment="1" applyProtection="1">
      <alignment horizontal="center"/>
      <protection hidden="1"/>
    </xf>
    <xf numFmtId="9" fontId="13" fillId="6" borderId="52" xfId="0" applyNumberFormat="1" applyFont="1" applyFill="1" applyBorder="1" applyAlignment="1" applyProtection="1">
      <alignment horizontal="center"/>
      <protection hidden="1"/>
    </xf>
    <xf numFmtId="0" fontId="13" fillId="6" borderId="52" xfId="0" applyFont="1" applyFill="1" applyBorder="1" applyAlignment="1" applyProtection="1">
      <alignment horizontal="center"/>
      <protection hidden="1"/>
    </xf>
    <xf numFmtId="0" fontId="10" fillId="6" borderId="52" xfId="0" applyFont="1" applyFill="1" applyBorder="1" applyAlignment="1" applyProtection="1">
      <alignment horizontal="center"/>
      <protection hidden="1"/>
    </xf>
    <xf numFmtId="3" fontId="0" fillId="0" borderId="52" xfId="0" applyNumberFormat="1" applyBorder="1" applyAlignment="1" applyProtection="1">
      <alignment horizontal="center"/>
      <protection hidden="1"/>
    </xf>
    <xf numFmtId="166" fontId="14" fillId="0" borderId="52" xfId="0" applyNumberFormat="1" applyFont="1" applyBorder="1" applyAlignment="1" applyProtection="1">
      <alignment horizontal="left"/>
      <protection hidden="1"/>
    </xf>
    <xf numFmtId="0" fontId="20" fillId="4" borderId="34" xfId="1" applyFont="1" applyFill="1" applyBorder="1" applyAlignment="1">
      <alignment horizontal="center" vertical="center"/>
    </xf>
    <xf numFmtId="0" fontId="0" fillId="0" borderId="51" xfId="0" applyBorder="1" applyAlignment="1"/>
    <xf numFmtId="0" fontId="32" fillId="4" borderId="52" xfId="0" applyFont="1" applyFill="1" applyBorder="1" applyAlignment="1">
      <alignment horizontal="left" vertical="center" wrapText="1"/>
    </xf>
    <xf numFmtId="0" fontId="0" fillId="0" borderId="53" xfId="0" applyBorder="1" applyAlignment="1"/>
    <xf numFmtId="0" fontId="0" fillId="0" borderId="54" xfId="0" applyBorder="1" applyAlignment="1"/>
    <xf numFmtId="0" fontId="31" fillId="8" borderId="52" xfId="0" applyFont="1" applyFill="1" applyBorder="1" applyAlignment="1">
      <alignment horizontal="left" vertical="center" wrapText="1"/>
    </xf>
    <xf numFmtId="0" fontId="8" fillId="5" borderId="4" xfId="3" applyFont="1" applyFill="1" applyBorder="1" applyAlignment="1">
      <alignment horizontal="center" vertical="center"/>
    </xf>
    <xf numFmtId="0" fontId="0" fillId="0" borderId="4" xfId="0" applyBorder="1" applyAlignment="1"/>
    <xf numFmtId="0" fontId="6" fillId="0" borderId="19" xfId="0" applyFont="1" applyBorder="1" applyAlignment="1">
      <alignment horizontal="left" vertical="center" wrapText="1"/>
    </xf>
    <xf numFmtId="0" fontId="6" fillId="0" borderId="0" xfId="0" applyFont="1" applyAlignment="1">
      <alignment horizontal="center"/>
    </xf>
    <xf numFmtId="0" fontId="6" fillId="0" borderId="0" xfId="0" applyFont="1" applyAlignment="1"/>
    <xf numFmtId="0" fontId="6" fillId="0" borderId="0" xfId="0" applyFont="1" applyAlignment="1">
      <alignment vertical="center"/>
    </xf>
    <xf numFmtId="0" fontId="0" fillId="0" borderId="19" xfId="0" applyBorder="1" applyAlignment="1"/>
    <xf numFmtId="164" fontId="22" fillId="6" borderId="12" xfId="0" applyNumberFormat="1" applyFont="1" applyFill="1" applyBorder="1" applyAlignment="1" applyProtection="1">
      <alignment horizontal="center" vertical="center"/>
      <protection hidden="1"/>
    </xf>
    <xf numFmtId="0" fontId="0" fillId="0" borderId="40" xfId="0" applyBorder="1" applyAlignment="1" applyProtection="1">
      <protection hidden="1"/>
    </xf>
    <xf numFmtId="0" fontId="0" fillId="0" borderId="9" xfId="0" applyBorder="1" applyAlignment="1" applyProtection="1">
      <protection hidden="1"/>
    </xf>
    <xf numFmtId="0" fontId="0" fillId="0" borderId="31" xfId="0" applyBorder="1" applyAlignment="1" applyProtection="1">
      <protection hidden="1"/>
    </xf>
    <xf numFmtId="0" fontId="0" fillId="0" borderId="33" xfId="0" applyBorder="1" applyAlignment="1" applyProtection="1">
      <protection hidden="1"/>
    </xf>
    <xf numFmtId="0" fontId="0" fillId="0" borderId="35" xfId="0" applyBorder="1" applyAlignment="1" applyProtection="1">
      <protection hidden="1"/>
    </xf>
    <xf numFmtId="9" fontId="12" fillId="5" borderId="52" xfId="0" applyNumberFormat="1" applyFont="1" applyFill="1" applyBorder="1" applyAlignment="1" applyProtection="1">
      <alignment horizontal="center"/>
      <protection hidden="1"/>
    </xf>
    <xf numFmtId="0" fontId="0" fillId="0" borderId="53" xfId="0" applyBorder="1" applyAlignment="1" applyProtection="1">
      <protection hidden="1"/>
    </xf>
    <xf numFmtId="0" fontId="0" fillId="0" borderId="54" xfId="0" applyBorder="1" applyAlignment="1" applyProtection="1">
      <protection hidden="1"/>
    </xf>
    <xf numFmtId="0" fontId="21" fillId="5" borderId="12" xfId="0" applyFont="1" applyFill="1" applyBorder="1" applyAlignment="1" applyProtection="1">
      <alignment horizontal="center" vertical="center" wrapText="1"/>
      <protection hidden="1"/>
    </xf>
    <xf numFmtId="1" fontId="10" fillId="6" borderId="52" xfId="0" applyNumberFormat="1" applyFont="1" applyFill="1" applyBorder="1" applyAlignment="1" applyProtection="1">
      <alignment horizontal="center"/>
      <protection hidden="1"/>
    </xf>
    <xf numFmtId="164" fontId="22" fillId="6" borderId="7" xfId="0" applyNumberFormat="1" applyFont="1" applyFill="1" applyBorder="1" applyAlignment="1" applyProtection="1">
      <alignment horizontal="center" vertical="center"/>
      <protection hidden="1"/>
    </xf>
    <xf numFmtId="0" fontId="23" fillId="5" borderId="12" xfId="0" applyFont="1" applyFill="1" applyBorder="1" applyAlignment="1" applyProtection="1">
      <alignment horizontal="center"/>
      <protection hidden="1"/>
    </xf>
    <xf numFmtId="0" fontId="0" fillId="0" borderId="6" xfId="0" applyBorder="1" applyAlignment="1" applyProtection="1">
      <protection hidden="1"/>
    </xf>
    <xf numFmtId="0" fontId="0" fillId="0" borderId="7" xfId="0" applyBorder="1" applyAlignment="1" applyProtection="1">
      <protection hidden="1"/>
    </xf>
    <xf numFmtId="9" fontId="18" fillId="4" borderId="52" xfId="0" applyNumberFormat="1" applyFont="1" applyFill="1" applyBorder="1" applyAlignment="1" applyProtection="1">
      <alignment horizontal="center"/>
      <protection hidden="1"/>
    </xf>
    <xf numFmtId="0" fontId="25" fillId="5" borderId="12" xfId="0" applyFont="1" applyFill="1" applyBorder="1" applyAlignment="1" applyProtection="1">
      <alignment horizontal="center"/>
      <protection hidden="1"/>
    </xf>
    <xf numFmtId="9" fontId="12" fillId="5" borderId="12" xfId="0" applyNumberFormat="1" applyFont="1" applyFill="1" applyBorder="1" applyAlignment="1" applyProtection="1">
      <alignment horizontal="center"/>
      <protection hidden="1"/>
    </xf>
    <xf numFmtId="1" fontId="10" fillId="6" borderId="12" xfId="0" applyNumberFormat="1" applyFont="1" applyFill="1" applyBorder="1" applyAlignment="1" applyProtection="1">
      <alignment horizontal="center"/>
      <protection hidden="1"/>
    </xf>
    <xf numFmtId="0" fontId="17" fillId="0" borderId="12" xfId="0" applyFont="1" applyBorder="1" applyAlignment="1" applyProtection="1">
      <alignment horizontal="left" vertical="center" wrapText="1"/>
      <protection hidden="1"/>
    </xf>
    <xf numFmtId="0" fontId="0" fillId="0" borderId="25" xfId="0" applyBorder="1" applyAlignment="1" applyProtection="1">
      <protection hidden="1"/>
    </xf>
    <xf numFmtId="0" fontId="0" fillId="0" borderId="0" xfId="0" applyAlignment="1" applyProtection="1">
      <protection hidden="1"/>
    </xf>
    <xf numFmtId="0" fontId="0" fillId="0" borderId="46" xfId="0" applyBorder="1" applyAlignment="1" applyProtection="1">
      <protection hidden="1"/>
    </xf>
    <xf numFmtId="9" fontId="18" fillId="4" borderId="12" xfId="0" applyNumberFormat="1" applyFont="1" applyFill="1" applyBorder="1" applyAlignment="1" applyProtection="1">
      <alignment horizontal="center"/>
      <protection hidden="1"/>
    </xf>
    <xf numFmtId="0" fontId="27" fillId="5" borderId="12" xfId="0" applyFont="1" applyFill="1" applyBorder="1" applyAlignment="1" applyProtection="1">
      <alignment horizontal="center" vertical="center"/>
      <protection hidden="1"/>
    </xf>
    <xf numFmtId="0" fontId="6" fillId="0" borderId="15" xfId="0" applyFont="1" applyBorder="1" applyAlignment="1">
      <alignment horizontal="left" vertical="top" wrapText="1"/>
    </xf>
    <xf numFmtId="0" fontId="0" fillId="0" borderId="33" xfId="0" applyBorder="1" applyAlignment="1"/>
    <xf numFmtId="0" fontId="0" fillId="0" borderId="35" xfId="0" applyBorder="1" applyAlignment="1"/>
    <xf numFmtId="0" fontId="6" fillId="0" borderId="26" xfId="0" applyFont="1" applyBorder="1" applyAlignment="1" applyProtection="1">
      <alignment horizontal="left" vertical="top" wrapText="1"/>
      <protection hidden="1"/>
    </xf>
    <xf numFmtId="164" fontId="22" fillId="6" borderId="31" xfId="0" applyNumberFormat="1" applyFont="1" applyFill="1" applyBorder="1" applyAlignment="1" applyProtection="1">
      <alignment horizontal="center" vertical="center"/>
      <protection hidden="1"/>
    </xf>
    <xf numFmtId="0" fontId="28" fillId="0" borderId="15" xfId="0" applyFont="1" applyBorder="1" applyAlignment="1">
      <alignment horizontal="left" wrapText="1"/>
    </xf>
    <xf numFmtId="0" fontId="0" fillId="0" borderId="46" xfId="0" applyBorder="1" applyAlignment="1"/>
    <xf numFmtId="0" fontId="0" fillId="0" borderId="25" xfId="0" applyBorder="1" applyAlignment="1"/>
    <xf numFmtId="0" fontId="0" fillId="0" borderId="31" xfId="0" applyBorder="1" applyAlignment="1"/>
    <xf numFmtId="0" fontId="28" fillId="0" borderId="10" xfId="0" applyFont="1" applyBorder="1" applyAlignment="1" applyProtection="1">
      <alignment horizontal="left"/>
      <protection hidden="1"/>
    </xf>
    <xf numFmtId="0" fontId="28" fillId="0" borderId="26" xfId="0" applyFont="1" applyBorder="1" applyAlignment="1" applyProtection="1">
      <alignment horizontal="left" vertical="top" wrapText="1"/>
      <protection hidden="1"/>
    </xf>
    <xf numFmtId="0" fontId="6" fillId="0" borderId="10" xfId="0" applyFont="1" applyBorder="1" applyAlignment="1" applyProtection="1">
      <alignment horizontal="left"/>
      <protection hidden="1"/>
    </xf>
    <xf numFmtId="164" fontId="22" fillId="6" borderId="27" xfId="0" applyNumberFormat="1" applyFont="1" applyFill="1" applyBorder="1" applyAlignment="1" applyProtection="1">
      <alignment horizontal="center" vertical="center"/>
      <protection hidden="1"/>
    </xf>
    <xf numFmtId="0" fontId="6" fillId="0" borderId="15" xfId="0" applyFont="1" applyBorder="1" applyAlignment="1" applyProtection="1">
      <alignment horizontal="left" vertical="top" wrapText="1"/>
      <protection hidden="1"/>
    </xf>
    <xf numFmtId="0" fontId="6" fillId="0" borderId="10" xfId="0" applyFont="1" applyBorder="1" applyAlignment="1" applyProtection="1">
      <alignment horizontal="left" vertical="top" wrapText="1"/>
      <protection hidden="1"/>
    </xf>
    <xf numFmtId="0" fontId="9" fillId="5" borderId="12" xfId="0" applyFont="1" applyFill="1" applyBorder="1" applyAlignment="1" applyProtection="1">
      <alignment horizontal="center" vertical="center"/>
      <protection hidden="1"/>
    </xf>
    <xf numFmtId="0" fontId="6" fillId="0" borderId="10" xfId="0" applyFont="1" applyBorder="1" applyAlignment="1" applyProtection="1">
      <alignment horizontal="left" vertical="center" wrapText="1"/>
      <protection hidden="1"/>
    </xf>
    <xf numFmtId="0" fontId="6" fillId="0" borderId="15" xfId="0" applyFont="1" applyBorder="1" applyAlignment="1" applyProtection="1">
      <alignment horizontal="left" vertical="center" wrapText="1"/>
      <protection hidden="1"/>
    </xf>
  </cellXfs>
  <cellStyles count="6">
    <cellStyle name="20% - Accent1" xfId="4" builtinId="30"/>
    <cellStyle name="Heading 1" xfId="1" builtinId="16"/>
    <cellStyle name="Heading 2" xfId="2" builtinId="17"/>
    <cellStyle name="Linked Cell" xfId="3" builtinId="24"/>
    <cellStyle name="Normal" xfId="0" builtinId="0"/>
    <cellStyle name="Percent" xfId="5" builtinId="5"/>
  </cellStyles>
  <dxfs count="5">
    <dxf>
      <font>
        <color auto="1"/>
      </font>
      <fill>
        <patternFill>
          <bgColor rgb="FFFF0000"/>
        </patternFill>
      </fill>
    </dxf>
    <dxf>
      <fill>
        <patternFill>
          <bgColor rgb="FFFFC000"/>
        </patternFill>
      </fill>
    </dxf>
    <dxf>
      <font>
        <color auto="1"/>
      </font>
      <fill>
        <patternFill>
          <bgColor rgb="FFFFFF00"/>
        </patternFill>
      </fill>
    </dxf>
    <dxf>
      <fill>
        <patternFill>
          <bgColor rgb="FF0070C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 DE IMPLEMENTACIÓN POR CLÁUSULA</a:t>
            </a:r>
          </a:p>
        </c:rich>
      </c:tx>
      <c:overlay val="0"/>
    </c:title>
    <c:autoTitleDeleted val="0"/>
    <c:plotArea>
      <c:layout>
        <c:manualLayout>
          <c:layoutTarget val="inner"/>
          <c:xMode val="edge"/>
          <c:yMode val="edge"/>
          <c:x val="0.1949752685368073"/>
          <c:y val="0.13989575049071989"/>
          <c:w val="0.6787597304348193"/>
          <c:h val="0.45246031466277919"/>
        </c:manualLayout>
      </c:layout>
      <c:barChart>
        <c:barDir val="col"/>
        <c:grouping val="clustered"/>
        <c:varyColors val="0"/>
        <c:ser>
          <c:idx val="0"/>
          <c:order val="0"/>
          <c:tx>
            <c:v>CLÁUSULAS</c:v>
          </c:tx>
          <c:spPr>
            <a:ln>
              <a:prstDash val="solid"/>
            </a:ln>
          </c:spPr>
          <c:invertIfNegative val="0"/>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'ANÁLISIS DATOS GLOBAL'!$L$9:$L$15</c:f>
              <c:strCache>
                <c:ptCount val="7"/>
                <c:pt idx="0">
                  <c:v>4. CONTEXTO DE LA ORGANIZACIÓN</c:v>
                </c:pt>
                <c:pt idx="1">
                  <c:v>5. LIDERAZGO</c:v>
                </c:pt>
                <c:pt idx="2">
                  <c:v>6. PLANIFICACIÓN</c:v>
                </c:pt>
                <c:pt idx="3">
                  <c:v>7. SOPORTE</c:v>
                </c:pt>
                <c:pt idx="4">
                  <c:v>8. OPERACIÓN</c:v>
                </c:pt>
                <c:pt idx="5">
                  <c:v>9. EVALUACIÓN DEL DESEMPEÑO</c:v>
                </c:pt>
                <c:pt idx="6">
                  <c:v>10. MEJORA</c:v>
                </c:pt>
              </c:strCache>
            </c:strRef>
          </c:cat>
          <c:val>
            <c:numRef>
              <c:f>'ANÁLISIS DATOS GLOBAL'!$M$9:$M$15</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5643-4926-AEB6-668D4B70B63C}"/>
            </c:ext>
          </c:extLst>
        </c:ser>
        <c:dLbls>
          <c:showLegendKey val="0"/>
          <c:showVal val="0"/>
          <c:showCatName val="0"/>
          <c:showSerName val="0"/>
          <c:showPercent val="0"/>
          <c:showBubbleSize val="0"/>
        </c:dLbls>
        <c:gapWidth val="150"/>
        <c:axId val="156508672"/>
        <c:axId val="46430976"/>
      </c:barChart>
      <c:catAx>
        <c:axId val="156508672"/>
        <c:scaling>
          <c:orientation val="minMax"/>
        </c:scaling>
        <c:delete val="0"/>
        <c:axPos val="b"/>
        <c:numFmt formatCode="General" sourceLinked="0"/>
        <c:majorTickMark val="out"/>
        <c:minorTickMark val="none"/>
        <c:tickLblPos val="nextTo"/>
        <c:crossAx val="46430976"/>
        <c:crosses val="autoZero"/>
        <c:auto val="1"/>
        <c:lblAlgn val="ctr"/>
        <c:lblOffset val="100"/>
        <c:noMultiLvlLbl val="0"/>
      </c:catAx>
      <c:valAx>
        <c:axId val="46430976"/>
        <c:scaling>
          <c:orientation val="minMax"/>
        </c:scaling>
        <c:delete val="0"/>
        <c:axPos val="l"/>
        <c:majorGridlines/>
        <c:numFmt formatCode="0.00%" sourceLinked="1"/>
        <c:majorTickMark val="out"/>
        <c:minorTickMark val="none"/>
        <c:tickLblPos val="nextTo"/>
        <c:crossAx val="156508672"/>
        <c:crosses val="autoZero"/>
        <c:crossBetween val="between"/>
      </c:valAx>
    </c:plotArea>
    <c:legend>
      <c:legendPos val="r"/>
      <c:layout>
        <c:manualLayout>
          <c:xMode val="edge"/>
          <c:yMode val="edge"/>
          <c:x val="0.87890090609963312"/>
          <c:y val="0.39480262284314871"/>
          <c:w val="0.1099950519623681"/>
          <c:h val="6.2243855583131787E-2"/>
        </c:manualLayout>
      </c:layout>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Porcentaje de Implementación del SGA</a:t>
            </a:r>
          </a:p>
        </c:rich>
      </c:tx>
      <c:overlay val="0"/>
    </c:title>
    <c:autoTitleDeleted val="0"/>
    <c:plotArea>
      <c:layout/>
      <c:barChart>
        <c:barDir val="col"/>
        <c:grouping val="percentStacked"/>
        <c:varyColors val="0"/>
        <c:ser>
          <c:idx val="2"/>
          <c:order val="0"/>
          <c:tx>
            <c:strRef>
              <c:f>'ANÁLISIS DATOS GLOBAL'!$L$16</c:f>
              <c:strCache>
                <c:ptCount val="1"/>
                <c:pt idx="0">
                  <c:v>PORCENTAJE TOTAL DE IMPLEMENTACIÓN SGC</c:v>
                </c:pt>
              </c:strCache>
            </c:strRef>
          </c:tx>
          <c:spPr>
            <a:ln>
              <a:prstDash val="solid"/>
            </a:ln>
          </c:spPr>
          <c:invertIfNegative val="0"/>
          <c:dLbls>
            <c:spPr>
              <a:noFill/>
              <a:ln>
                <a:noFill/>
                <a:prstDash val="solid"/>
              </a:ln>
            </c:spPr>
            <c:txPr>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'ANÁLISIS DATOS GLOBAL'!$M$16</c:f>
              <c:numCache>
                <c:formatCode>0.00%</c:formatCode>
                <c:ptCount val="1"/>
                <c:pt idx="0">
                  <c:v>0</c:v>
                </c:pt>
              </c:numCache>
            </c:numRef>
          </c:val>
          <c:extLst>
            <c:ext xmlns:c16="http://schemas.microsoft.com/office/drawing/2014/chart" uri="{C3380CC4-5D6E-409C-BE32-E72D297353CC}">
              <c16:uniqueId val="{00000000-0E6C-411F-86E5-4D83BEA9D567}"/>
            </c:ext>
          </c:extLst>
        </c:ser>
        <c:ser>
          <c:idx val="3"/>
          <c:order val="1"/>
          <c:tx>
            <c:strRef>
              <c:f>'ANÁLISIS DATOS GLOBAL'!$L$17</c:f>
              <c:strCache>
                <c:ptCount val="1"/>
                <c:pt idx="0">
                  <c:v>BRECHA</c:v>
                </c:pt>
              </c:strCache>
            </c:strRef>
          </c:tx>
          <c:spPr>
            <a:ln>
              <a:prstDash val="solid"/>
            </a:ln>
          </c:spPr>
          <c:invertIfNegative val="0"/>
          <c:dLbls>
            <c:spPr>
              <a:noFill/>
              <a:ln>
                <a:noFill/>
                <a:prstDash val="solid"/>
              </a:ln>
            </c:spPr>
            <c:txPr>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'ANÁLISIS DATOS GLOBAL'!$M$17</c:f>
              <c:numCache>
                <c:formatCode>0.00%</c:formatCode>
                <c:ptCount val="1"/>
                <c:pt idx="0">
                  <c:v>1</c:v>
                </c:pt>
              </c:numCache>
            </c:numRef>
          </c:val>
          <c:extLst>
            <c:ext xmlns:c16="http://schemas.microsoft.com/office/drawing/2014/chart" uri="{C3380CC4-5D6E-409C-BE32-E72D297353CC}">
              <c16:uniqueId val="{00000001-0E6C-411F-86E5-4D83BEA9D567}"/>
            </c:ext>
          </c:extLst>
        </c:ser>
        <c:dLbls>
          <c:showLegendKey val="0"/>
          <c:showVal val="0"/>
          <c:showCatName val="0"/>
          <c:showSerName val="0"/>
          <c:showPercent val="0"/>
          <c:showBubbleSize val="0"/>
        </c:dLbls>
        <c:gapWidth val="150"/>
        <c:overlap val="100"/>
        <c:axId val="156509184"/>
        <c:axId val="156639808"/>
      </c:barChart>
      <c:catAx>
        <c:axId val="156509184"/>
        <c:scaling>
          <c:orientation val="minMax"/>
        </c:scaling>
        <c:delete val="0"/>
        <c:axPos val="b"/>
        <c:numFmt formatCode="General" sourceLinked="1"/>
        <c:majorTickMark val="out"/>
        <c:minorTickMark val="none"/>
        <c:tickLblPos val="nextTo"/>
        <c:crossAx val="156639808"/>
        <c:crosses val="autoZero"/>
        <c:auto val="1"/>
        <c:lblAlgn val="ctr"/>
        <c:lblOffset val="100"/>
        <c:noMultiLvlLbl val="0"/>
      </c:catAx>
      <c:valAx>
        <c:axId val="156639808"/>
        <c:scaling>
          <c:orientation val="minMax"/>
        </c:scaling>
        <c:delete val="0"/>
        <c:axPos val="l"/>
        <c:majorGridlines/>
        <c:numFmt formatCode="0%" sourceLinked="1"/>
        <c:majorTickMark val="out"/>
        <c:minorTickMark val="none"/>
        <c:tickLblPos val="nextTo"/>
        <c:crossAx val="15650918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latin typeface="Times New Roman" panose="02020603050405020304" pitchFamily="18" charset="0"/>
                <a:cs typeface="Times New Roman" panose="02020603050405020304" pitchFamily="18" charset="0"/>
              </a:defRPr>
            </a:pPr>
            <a:r>
              <a:rPr lang="en-US" sz="1400">
                <a:latin typeface="Times New Roman" panose="02020603050405020304" pitchFamily="18" charset="0"/>
                <a:cs typeface="Times New Roman" panose="02020603050405020304" pitchFamily="18" charset="0"/>
              </a:rPr>
              <a:t>Porcentaje de representatividad - Requisitos de Contexto de la organización</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4'!$B$12:$B$15</c:f>
              <c:strCache>
                <c:ptCount val="4"/>
                <c:pt idx="0">
                  <c:v>4.1 Comprensión de la organización y de su contexto</c:v>
                </c:pt>
                <c:pt idx="1">
                  <c:v>4.2 Comprensión de las necesidades y expectativas de las partes interesadas</c:v>
                </c:pt>
                <c:pt idx="2">
                  <c:v>4.3 Determinación del alcance del sistema de gestión ambiental</c:v>
                </c:pt>
                <c:pt idx="3">
                  <c:v>4.4 Sistema de gestión ambiental</c:v>
                </c:pt>
              </c:strCache>
            </c:strRef>
          </c:cat>
          <c:val>
            <c:numRef>
              <c:f>'ANÁLISIS 4'!$I$12:$I$15</c:f>
              <c:numCache>
                <c:formatCode>#,##0</c:formatCode>
                <c:ptCount val="4"/>
                <c:pt idx="0">
                  <c:v>0</c:v>
                </c:pt>
                <c:pt idx="1">
                  <c:v>0</c:v>
                </c:pt>
                <c:pt idx="2">
                  <c:v>0</c:v>
                </c:pt>
                <c:pt idx="3">
                  <c:v>0</c:v>
                </c:pt>
              </c:numCache>
            </c:numRef>
          </c:val>
          <c:extLst>
            <c:ext xmlns:c16="http://schemas.microsoft.com/office/drawing/2014/chart" uri="{C3380CC4-5D6E-409C-BE32-E72D297353CC}">
              <c16:uniqueId val="{00000000-6069-4446-ABAD-3811462A3F21}"/>
            </c:ext>
          </c:extLst>
        </c:ser>
        <c:ser>
          <c:idx val="1"/>
          <c:order val="1"/>
          <c:tx>
            <c:strRef>
              <c:f>'ANÁLISIS 4'!$B$9:$I$9</c:f>
              <c:strCache>
                <c:ptCount val="1"/>
                <c:pt idx="0">
                  <c:v>4. CONTEXTO DE LA ORGANIZACIÓN</c:v>
                </c:pt>
              </c:strCache>
            </c:strRef>
          </c:tx>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4'!$B$12:$B$15</c:f>
              <c:strCache>
                <c:ptCount val="4"/>
                <c:pt idx="0">
                  <c:v>4.1 Comprensión de la organización y de su contexto</c:v>
                </c:pt>
                <c:pt idx="1">
                  <c:v>4.2 Comprensión de las necesidades y expectativas de las partes interesadas</c:v>
                </c:pt>
                <c:pt idx="2">
                  <c:v>4.3 Determinación del alcance del sistema de gestión ambiental</c:v>
                </c:pt>
                <c:pt idx="3">
                  <c:v>4.4 Sistema de gestión ambiental</c:v>
                </c:pt>
              </c:strCache>
            </c:strRef>
          </c:cat>
          <c:val>
            <c:numLit>
              <c:formatCode>General</c:formatCode>
              <c:ptCount val="1"/>
              <c:pt idx="0">
                <c:v>1</c:v>
              </c:pt>
            </c:numLit>
          </c:val>
          <c:extLst>
            <c:ext xmlns:c16="http://schemas.microsoft.com/office/drawing/2014/chart" uri="{C3380CC4-5D6E-409C-BE32-E72D297353CC}">
              <c16:uniqueId val="{00000001-6069-4446-ABAD-3811462A3F21}"/>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latin typeface="Times New Roman" panose="02020603050405020304" pitchFamily="18" charset="0"/>
                <a:cs typeface="Times New Roman" panose="02020603050405020304" pitchFamily="18" charset="0"/>
              </a:defRPr>
            </a:pPr>
            <a:r>
              <a:rPr lang="es-PE" sz="1400" b="1" i="0" baseline="0">
                <a:latin typeface="Times New Roman" panose="02020603050405020304" pitchFamily="18" charset="0"/>
                <a:cs typeface="Times New Roman" panose="02020603050405020304" pitchFamily="18" charset="0"/>
              </a:rPr>
              <a:t>Porcentaje de valores de cumplimiento y numerales de CLÁUSULA 4</a:t>
            </a:r>
            <a:endParaRPr lang="es-PE" sz="1400">
              <a:latin typeface="Times New Roman" panose="02020603050405020304" pitchFamily="18" charset="0"/>
              <a:cs typeface="Times New Roman" panose="02020603050405020304" pitchFamily="18" charset="0"/>
            </a:endParaRPr>
          </a:p>
        </c:rich>
      </c:tx>
      <c:overlay val="0"/>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17B2-404F-B8CF-5DB9DF45F79E}"/>
              </c:ext>
            </c:extLst>
          </c:dPt>
          <c:dPt>
            <c:idx val="1"/>
            <c:bubble3D val="0"/>
            <c:spPr>
              <a:solidFill>
                <a:schemeClr val="accent2"/>
              </a:solidFill>
              <a:ln>
                <a:noFill/>
                <a:prstDash val="solid"/>
              </a:ln>
            </c:spPr>
            <c:extLst>
              <c:ext xmlns:c16="http://schemas.microsoft.com/office/drawing/2014/chart" uri="{C3380CC4-5D6E-409C-BE32-E72D297353CC}">
                <c16:uniqueId val="{00000003-17B2-404F-B8CF-5DB9DF45F79E}"/>
              </c:ext>
            </c:extLst>
          </c:dPt>
          <c:dPt>
            <c:idx val="2"/>
            <c:bubble3D val="0"/>
            <c:spPr>
              <a:solidFill>
                <a:schemeClr val="accent3"/>
              </a:solidFill>
              <a:ln>
                <a:noFill/>
                <a:prstDash val="solid"/>
              </a:ln>
            </c:spPr>
            <c:extLst>
              <c:ext xmlns:c16="http://schemas.microsoft.com/office/drawing/2014/chart" uri="{C3380CC4-5D6E-409C-BE32-E72D297353CC}">
                <c16:uniqueId val="{00000005-17B2-404F-B8CF-5DB9DF45F79E}"/>
              </c:ext>
            </c:extLst>
          </c:dPt>
          <c:dPt>
            <c:idx val="3"/>
            <c:bubble3D val="0"/>
            <c:spPr>
              <a:solidFill>
                <a:schemeClr val="accent4"/>
              </a:solidFill>
              <a:ln>
                <a:noFill/>
                <a:prstDash val="solid"/>
              </a:ln>
            </c:spPr>
            <c:extLst>
              <c:ext xmlns:c16="http://schemas.microsoft.com/office/drawing/2014/chart" uri="{C3380CC4-5D6E-409C-BE32-E72D297353CC}">
                <c16:uniqueId val="{00000007-17B2-404F-B8CF-5DB9DF45F79E}"/>
              </c:ext>
            </c:extLst>
          </c:dPt>
          <c:dPt>
            <c:idx val="4"/>
            <c:bubble3D val="0"/>
            <c:spPr>
              <a:solidFill>
                <a:schemeClr val="accent5"/>
              </a:solidFill>
              <a:ln>
                <a:noFill/>
                <a:prstDash val="solid"/>
              </a:ln>
            </c:spPr>
            <c:extLst>
              <c:ext xmlns:c16="http://schemas.microsoft.com/office/drawing/2014/chart" uri="{C3380CC4-5D6E-409C-BE32-E72D297353CC}">
                <c16:uniqueId val="{00000009-17B2-404F-B8CF-5DB9DF45F79E}"/>
              </c:ext>
            </c:extLst>
          </c:dPt>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4'!$C$10:$G$10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4'!$C$16:$G$16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17B2-404F-B8CF-5DB9DF45F79E}"/>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Liderazgo</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5'!$B$12:$B$14</c:f>
              <c:strCache>
                <c:ptCount val="3"/>
                <c:pt idx="0">
                  <c:v>5.1 Liderazgo y compromiso</c:v>
                </c:pt>
                <c:pt idx="1">
                  <c:v>5.2 Política ambiental</c:v>
                </c:pt>
                <c:pt idx="2">
                  <c:v>5.3 Roles, responsabilidades y autoridades en la organización</c:v>
                </c:pt>
              </c:strCache>
            </c:strRef>
          </c:cat>
          <c:val>
            <c:numRef>
              <c:f>'ANÁLISIS 5'!$I$12:$I$14</c:f>
              <c:numCache>
                <c:formatCode>#,##0</c:formatCode>
                <c:ptCount val="3"/>
                <c:pt idx="0">
                  <c:v>0</c:v>
                </c:pt>
                <c:pt idx="1">
                  <c:v>0</c:v>
                </c:pt>
                <c:pt idx="2">
                  <c:v>0</c:v>
                </c:pt>
              </c:numCache>
            </c:numRef>
          </c:val>
          <c:extLst>
            <c:ext xmlns:c16="http://schemas.microsoft.com/office/drawing/2014/chart" uri="{C3380CC4-5D6E-409C-BE32-E72D297353CC}">
              <c16:uniqueId val="{00000000-5167-42D9-BF53-871680ED70F3}"/>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spPr>
    <a:solidFill>
      <a:schemeClr val="bg1"/>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000" b="1" i="0"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5</a:t>
            </a:r>
            <a:endParaRPr lang="es-PE" sz="1000">
              <a:latin typeface="Times New Roman" panose="02020603050405020304" pitchFamily="18" charset="0"/>
              <a:cs typeface="Times New Roman" panose="02020603050405020304" pitchFamily="18" charset="0"/>
            </a:endParaRP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02AC-4ECB-A961-C6B11E95282D}"/>
              </c:ext>
            </c:extLst>
          </c:dPt>
          <c:dPt>
            <c:idx val="1"/>
            <c:bubble3D val="0"/>
            <c:spPr>
              <a:solidFill>
                <a:schemeClr val="accent2"/>
              </a:solidFill>
              <a:ln>
                <a:noFill/>
                <a:prstDash val="solid"/>
              </a:ln>
            </c:spPr>
            <c:extLst>
              <c:ext xmlns:c16="http://schemas.microsoft.com/office/drawing/2014/chart" uri="{C3380CC4-5D6E-409C-BE32-E72D297353CC}">
                <c16:uniqueId val="{00000003-02AC-4ECB-A961-C6B11E95282D}"/>
              </c:ext>
            </c:extLst>
          </c:dPt>
          <c:dPt>
            <c:idx val="2"/>
            <c:bubble3D val="0"/>
            <c:spPr>
              <a:solidFill>
                <a:schemeClr val="accent3"/>
              </a:solidFill>
              <a:ln>
                <a:noFill/>
                <a:prstDash val="solid"/>
              </a:ln>
            </c:spPr>
            <c:extLst>
              <c:ext xmlns:c16="http://schemas.microsoft.com/office/drawing/2014/chart" uri="{C3380CC4-5D6E-409C-BE32-E72D297353CC}">
                <c16:uniqueId val="{00000005-02AC-4ECB-A961-C6B11E95282D}"/>
              </c:ext>
            </c:extLst>
          </c:dPt>
          <c:dPt>
            <c:idx val="3"/>
            <c:bubble3D val="0"/>
            <c:spPr>
              <a:solidFill>
                <a:schemeClr val="accent4"/>
              </a:solidFill>
              <a:ln>
                <a:noFill/>
                <a:prstDash val="solid"/>
              </a:ln>
            </c:spPr>
            <c:extLst>
              <c:ext xmlns:c16="http://schemas.microsoft.com/office/drawing/2014/chart" uri="{C3380CC4-5D6E-409C-BE32-E72D297353CC}">
                <c16:uniqueId val="{00000007-02AC-4ECB-A961-C6B11E95282D}"/>
              </c:ext>
            </c:extLst>
          </c:dPt>
          <c:dPt>
            <c:idx val="4"/>
            <c:bubble3D val="0"/>
            <c:spPr>
              <a:solidFill>
                <a:schemeClr val="accent5"/>
              </a:solidFill>
              <a:ln>
                <a:noFill/>
                <a:prstDash val="solid"/>
              </a:ln>
            </c:spPr>
            <c:extLst>
              <c:ext xmlns:c16="http://schemas.microsoft.com/office/drawing/2014/chart" uri="{C3380CC4-5D6E-409C-BE32-E72D297353CC}">
                <c16:uniqueId val="{00000009-02AC-4ECB-A961-C6B11E95282D}"/>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5'!$C$10:$G$10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5'!$C$15:$G$15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02AC-4ECB-A961-C6B11E95282D}"/>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rtl="0">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Planificación</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6'!$B$12:$B$14</c:f>
              <c:strCache>
                <c:ptCount val="3"/>
                <c:pt idx="0">
                  <c:v>6.1 Acciones para abordar riesgos y oportunidades</c:v>
                </c:pt>
                <c:pt idx="1">
                  <c:v>6.2 Objetivos ambientales y planificación para lograrlos</c:v>
                </c:pt>
                <c:pt idx="2">
                  <c:v>6.3 Planificación de cambios</c:v>
                </c:pt>
              </c:strCache>
            </c:strRef>
          </c:cat>
          <c:val>
            <c:numRef>
              <c:f>'ANÁLISIS 6'!$I$12:$I$14</c:f>
              <c:numCache>
                <c:formatCode>#,##0</c:formatCode>
                <c:ptCount val="3"/>
                <c:pt idx="0">
                  <c:v>0</c:v>
                </c:pt>
                <c:pt idx="1">
                  <c:v>0</c:v>
                </c:pt>
                <c:pt idx="2">
                  <c:v>0</c:v>
                </c:pt>
              </c:numCache>
            </c:numRef>
          </c:val>
          <c:extLst>
            <c:ext xmlns:c16="http://schemas.microsoft.com/office/drawing/2014/chart" uri="{C3380CC4-5D6E-409C-BE32-E72D297353CC}">
              <c16:uniqueId val="{00000000-4010-42B7-9439-EC90DD07E3E0}"/>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s-PE" sz="1000" b="1" i="0" strike="noStrike" baseline="0">
                <a:latin typeface="Times New Roman" panose="02020603050405020304" pitchFamily="18" charset="0"/>
                <a:cs typeface="Times New Roman" panose="02020603050405020304" pitchFamily="18" charset="0"/>
              </a:rPr>
              <a:t>Porcentaje de valores de cumplimiento y numerales de CLÁUSULA 6</a:t>
            </a: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23B0-4D72-877C-59EC2D197933}"/>
              </c:ext>
            </c:extLst>
          </c:dPt>
          <c:dPt>
            <c:idx val="1"/>
            <c:bubble3D val="0"/>
            <c:spPr>
              <a:solidFill>
                <a:schemeClr val="accent2"/>
              </a:solidFill>
              <a:ln>
                <a:noFill/>
                <a:prstDash val="solid"/>
              </a:ln>
            </c:spPr>
            <c:extLst>
              <c:ext xmlns:c16="http://schemas.microsoft.com/office/drawing/2014/chart" uri="{C3380CC4-5D6E-409C-BE32-E72D297353CC}">
                <c16:uniqueId val="{00000003-23B0-4D72-877C-59EC2D197933}"/>
              </c:ext>
            </c:extLst>
          </c:dPt>
          <c:dPt>
            <c:idx val="2"/>
            <c:bubble3D val="0"/>
            <c:spPr>
              <a:solidFill>
                <a:schemeClr val="accent3"/>
              </a:solidFill>
              <a:ln>
                <a:noFill/>
                <a:prstDash val="solid"/>
              </a:ln>
            </c:spPr>
            <c:extLst>
              <c:ext xmlns:c16="http://schemas.microsoft.com/office/drawing/2014/chart" uri="{C3380CC4-5D6E-409C-BE32-E72D297353CC}">
                <c16:uniqueId val="{00000005-23B0-4D72-877C-59EC2D197933}"/>
              </c:ext>
            </c:extLst>
          </c:dPt>
          <c:dPt>
            <c:idx val="3"/>
            <c:bubble3D val="0"/>
            <c:spPr>
              <a:solidFill>
                <a:schemeClr val="accent4"/>
              </a:solidFill>
              <a:ln>
                <a:noFill/>
                <a:prstDash val="solid"/>
              </a:ln>
            </c:spPr>
            <c:extLst>
              <c:ext xmlns:c16="http://schemas.microsoft.com/office/drawing/2014/chart" uri="{C3380CC4-5D6E-409C-BE32-E72D297353CC}">
                <c16:uniqueId val="{00000007-23B0-4D72-877C-59EC2D197933}"/>
              </c:ext>
            </c:extLst>
          </c:dPt>
          <c:dPt>
            <c:idx val="4"/>
            <c:bubble3D val="0"/>
            <c:spPr>
              <a:solidFill>
                <a:schemeClr val="accent5"/>
              </a:solidFill>
              <a:ln>
                <a:noFill/>
                <a:prstDash val="solid"/>
              </a:ln>
            </c:spPr>
            <c:extLst>
              <c:ext xmlns:c16="http://schemas.microsoft.com/office/drawing/2014/chart" uri="{C3380CC4-5D6E-409C-BE32-E72D297353CC}">
                <c16:uniqueId val="{00000009-23B0-4D72-877C-59EC2D197933}"/>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6'!$C$10:$G$10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6'!$C$15:$G$15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23B0-4D72-877C-59EC2D197933}"/>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Apoyo</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7'!$B$12:$B$16</c:f>
              <c:strCache>
                <c:ptCount val="5"/>
                <c:pt idx="0">
                  <c:v>7.1 Recursos</c:v>
                </c:pt>
                <c:pt idx="1">
                  <c:v>7.2 Competencia</c:v>
                </c:pt>
                <c:pt idx="2">
                  <c:v>7.3 Toma de conciencia y formación</c:v>
                </c:pt>
                <c:pt idx="3">
                  <c:v>7.4 Comunicación</c:v>
                </c:pt>
                <c:pt idx="4">
                  <c:v>7.5 Información documentada</c:v>
                </c:pt>
              </c:strCache>
            </c:strRef>
          </c:cat>
          <c:val>
            <c:numRef>
              <c:f>'ANÁLISIS 7'!$I$12:$I$16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D120-4A1C-8939-213F2C498952}"/>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7</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31C7-4F05-B784-12FCF109FCE6}"/>
              </c:ext>
            </c:extLst>
          </c:dPt>
          <c:dPt>
            <c:idx val="1"/>
            <c:bubble3D val="0"/>
            <c:spPr>
              <a:solidFill>
                <a:schemeClr val="accent2"/>
              </a:solidFill>
              <a:ln>
                <a:noFill/>
                <a:prstDash val="solid"/>
              </a:ln>
            </c:spPr>
            <c:extLst>
              <c:ext xmlns:c16="http://schemas.microsoft.com/office/drawing/2014/chart" uri="{C3380CC4-5D6E-409C-BE32-E72D297353CC}">
                <c16:uniqueId val="{00000003-31C7-4F05-B784-12FCF109FCE6}"/>
              </c:ext>
            </c:extLst>
          </c:dPt>
          <c:dPt>
            <c:idx val="2"/>
            <c:bubble3D val="0"/>
            <c:spPr>
              <a:solidFill>
                <a:schemeClr val="accent3"/>
              </a:solidFill>
              <a:ln>
                <a:noFill/>
                <a:prstDash val="solid"/>
              </a:ln>
            </c:spPr>
            <c:extLst>
              <c:ext xmlns:c16="http://schemas.microsoft.com/office/drawing/2014/chart" uri="{C3380CC4-5D6E-409C-BE32-E72D297353CC}">
                <c16:uniqueId val="{00000005-31C7-4F05-B784-12FCF109FCE6}"/>
              </c:ext>
            </c:extLst>
          </c:dPt>
          <c:dPt>
            <c:idx val="3"/>
            <c:bubble3D val="0"/>
            <c:spPr>
              <a:solidFill>
                <a:schemeClr val="accent4"/>
              </a:solidFill>
              <a:ln>
                <a:noFill/>
                <a:prstDash val="solid"/>
              </a:ln>
            </c:spPr>
            <c:extLst>
              <c:ext xmlns:c16="http://schemas.microsoft.com/office/drawing/2014/chart" uri="{C3380CC4-5D6E-409C-BE32-E72D297353CC}">
                <c16:uniqueId val="{00000007-31C7-4F05-B784-12FCF109FCE6}"/>
              </c:ext>
            </c:extLst>
          </c:dPt>
          <c:dPt>
            <c:idx val="4"/>
            <c:bubble3D val="0"/>
            <c:spPr>
              <a:solidFill>
                <a:schemeClr val="accent5"/>
              </a:solidFill>
              <a:ln>
                <a:noFill/>
                <a:prstDash val="solid"/>
              </a:ln>
            </c:spPr>
            <c:extLst>
              <c:ext xmlns:c16="http://schemas.microsoft.com/office/drawing/2014/chart" uri="{C3380CC4-5D6E-409C-BE32-E72D297353CC}">
                <c16:uniqueId val="{00000009-31C7-4F05-B784-12FCF109FCE6}"/>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7'!$C$10:$G$10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7'!$C$17:$G$17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31C7-4F05-B784-12FCF109FCE6}"/>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Operación</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8'!$B$11:$B$12</c:f>
              <c:strCache>
                <c:ptCount val="2"/>
                <c:pt idx="0">
                  <c:v>8.1 Planificación y control operacional</c:v>
                </c:pt>
                <c:pt idx="1">
                  <c:v>8.2 Preparación y respuesta ante emergencias</c:v>
                </c:pt>
              </c:strCache>
            </c:strRef>
          </c:cat>
          <c:val>
            <c:numRef>
              <c:f>'ANÁLISIS 8'!$I$11:$I$12</c:f>
              <c:numCache>
                <c:formatCode>#,##0</c:formatCode>
                <c:ptCount val="2"/>
                <c:pt idx="0">
                  <c:v>0</c:v>
                </c:pt>
                <c:pt idx="1">
                  <c:v>0</c:v>
                </c:pt>
              </c:numCache>
            </c:numRef>
          </c:val>
          <c:extLst>
            <c:ext xmlns:c16="http://schemas.microsoft.com/office/drawing/2014/chart" uri="{C3380CC4-5D6E-409C-BE32-E72D297353CC}">
              <c16:uniqueId val="{00000000-8EBA-473D-8E1A-12CA083575E8}"/>
            </c:ext>
          </c:extLst>
        </c:ser>
        <c:dLbls>
          <c:showLegendKey val="0"/>
          <c:showVal val="0"/>
          <c:showCatName val="0"/>
          <c:showSerName val="0"/>
          <c:showPercent val="1"/>
          <c:showBubbleSize val="0"/>
          <c:showLeaderLines val="1"/>
        </c:dLbls>
        <c:firstSliceAng val="0"/>
      </c:pieChart>
    </c:plotArea>
    <c:legend>
      <c:legendPos val="r"/>
      <c:layout>
        <c:manualLayout>
          <c:xMode val="edge"/>
          <c:yMode val="edge"/>
          <c:x val="0.65250757015086125"/>
          <c:y val="7.8140596549306357E-2"/>
          <c:w val="0.33568875692851702"/>
          <c:h val="0.92185940345069362"/>
        </c:manualLayout>
      </c:layout>
      <c:overlay val="0"/>
      <c:txPr>
        <a:bodyPr/>
        <a:lstStyle/>
        <a:p>
          <a:pPr>
            <a:defRPr kern="600" baseline="0"/>
          </a:pPr>
          <a:endParaRPr lang="en-US"/>
        </a:p>
      </c:txPr>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8</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layout>
        <c:manualLayout>
          <c:xMode val="edge"/>
          <c:yMode val="edge"/>
          <c:x val="0.20248040683019711"/>
          <c:y val="2.8668933761469451E-2"/>
        </c:manualLayout>
      </c:layout>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F631-49B8-9506-B9E2512E73BA}"/>
              </c:ext>
            </c:extLst>
          </c:dPt>
          <c:dPt>
            <c:idx val="1"/>
            <c:bubble3D val="0"/>
            <c:spPr>
              <a:solidFill>
                <a:schemeClr val="accent2"/>
              </a:solidFill>
              <a:ln>
                <a:noFill/>
                <a:prstDash val="solid"/>
              </a:ln>
            </c:spPr>
            <c:extLst>
              <c:ext xmlns:c16="http://schemas.microsoft.com/office/drawing/2014/chart" uri="{C3380CC4-5D6E-409C-BE32-E72D297353CC}">
                <c16:uniqueId val="{00000003-F631-49B8-9506-B9E2512E73BA}"/>
              </c:ext>
            </c:extLst>
          </c:dPt>
          <c:dPt>
            <c:idx val="2"/>
            <c:bubble3D val="0"/>
            <c:spPr>
              <a:solidFill>
                <a:schemeClr val="accent3"/>
              </a:solidFill>
              <a:ln>
                <a:noFill/>
                <a:prstDash val="solid"/>
              </a:ln>
            </c:spPr>
            <c:extLst>
              <c:ext xmlns:c16="http://schemas.microsoft.com/office/drawing/2014/chart" uri="{C3380CC4-5D6E-409C-BE32-E72D297353CC}">
                <c16:uniqueId val="{00000005-F631-49B8-9506-B9E2512E73BA}"/>
              </c:ext>
            </c:extLst>
          </c:dPt>
          <c:dPt>
            <c:idx val="3"/>
            <c:bubble3D val="0"/>
            <c:spPr>
              <a:solidFill>
                <a:schemeClr val="accent4"/>
              </a:solidFill>
              <a:ln>
                <a:noFill/>
                <a:prstDash val="solid"/>
              </a:ln>
            </c:spPr>
            <c:extLst>
              <c:ext xmlns:c16="http://schemas.microsoft.com/office/drawing/2014/chart" uri="{C3380CC4-5D6E-409C-BE32-E72D297353CC}">
                <c16:uniqueId val="{00000007-F631-49B8-9506-B9E2512E73BA}"/>
              </c:ext>
            </c:extLst>
          </c:dPt>
          <c:dPt>
            <c:idx val="4"/>
            <c:bubble3D val="0"/>
            <c:spPr>
              <a:solidFill>
                <a:schemeClr val="accent5"/>
              </a:solidFill>
              <a:ln>
                <a:noFill/>
                <a:prstDash val="solid"/>
              </a:ln>
            </c:spPr>
            <c:extLst>
              <c:ext xmlns:c16="http://schemas.microsoft.com/office/drawing/2014/chart" uri="{C3380CC4-5D6E-409C-BE32-E72D297353CC}">
                <c16:uniqueId val="{00000009-F631-49B8-9506-B9E2512E73BA}"/>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8'!$C$9:$G$9</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8'!$C$13:$G$13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F631-49B8-9506-B9E2512E73BA}"/>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representatividad-Requisitos de Evaluación de Desempeño</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9'!$B$13:$B$15</c:f>
              <c:strCache>
                <c:ptCount val="3"/>
                <c:pt idx="0">
                  <c:v>9.1 Seguimiento, medición, análisis y evaluación</c:v>
                </c:pt>
                <c:pt idx="1">
                  <c:v>9.2 Auditoría interna</c:v>
                </c:pt>
                <c:pt idx="2">
                  <c:v>9.3 Revisión por la dirección</c:v>
                </c:pt>
              </c:strCache>
            </c:strRef>
          </c:cat>
          <c:val>
            <c:numRef>
              <c:f>'ANÁLISIS 9'!$I$13:$I$15</c:f>
              <c:numCache>
                <c:formatCode>#,##0</c:formatCode>
                <c:ptCount val="3"/>
                <c:pt idx="0">
                  <c:v>0</c:v>
                </c:pt>
                <c:pt idx="1">
                  <c:v>0</c:v>
                </c:pt>
                <c:pt idx="2">
                  <c:v>0</c:v>
                </c:pt>
              </c:numCache>
            </c:numRef>
          </c:val>
          <c:extLst>
            <c:ext xmlns:c16="http://schemas.microsoft.com/office/drawing/2014/chart" uri="{C3380CC4-5D6E-409C-BE32-E72D297353CC}">
              <c16:uniqueId val="{00000000-BA05-4693-BA62-CEB65D1A37CB}"/>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9</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7B9A-47C4-BE9D-F3D8E5ADBA55}"/>
              </c:ext>
            </c:extLst>
          </c:dPt>
          <c:dPt>
            <c:idx val="1"/>
            <c:bubble3D val="0"/>
            <c:spPr>
              <a:solidFill>
                <a:schemeClr val="accent2"/>
              </a:solidFill>
              <a:ln>
                <a:noFill/>
                <a:prstDash val="solid"/>
              </a:ln>
            </c:spPr>
            <c:extLst>
              <c:ext xmlns:c16="http://schemas.microsoft.com/office/drawing/2014/chart" uri="{C3380CC4-5D6E-409C-BE32-E72D297353CC}">
                <c16:uniqueId val="{00000003-7B9A-47C4-BE9D-F3D8E5ADBA55}"/>
              </c:ext>
            </c:extLst>
          </c:dPt>
          <c:dPt>
            <c:idx val="2"/>
            <c:bubble3D val="0"/>
            <c:spPr>
              <a:solidFill>
                <a:schemeClr val="accent3"/>
              </a:solidFill>
              <a:ln>
                <a:noFill/>
                <a:prstDash val="solid"/>
              </a:ln>
            </c:spPr>
            <c:extLst>
              <c:ext xmlns:c16="http://schemas.microsoft.com/office/drawing/2014/chart" uri="{C3380CC4-5D6E-409C-BE32-E72D297353CC}">
                <c16:uniqueId val="{00000005-7B9A-47C4-BE9D-F3D8E5ADBA55}"/>
              </c:ext>
            </c:extLst>
          </c:dPt>
          <c:dPt>
            <c:idx val="3"/>
            <c:bubble3D val="0"/>
            <c:spPr>
              <a:solidFill>
                <a:schemeClr val="accent4"/>
              </a:solidFill>
              <a:ln>
                <a:noFill/>
                <a:prstDash val="solid"/>
              </a:ln>
            </c:spPr>
            <c:extLst>
              <c:ext xmlns:c16="http://schemas.microsoft.com/office/drawing/2014/chart" uri="{C3380CC4-5D6E-409C-BE32-E72D297353CC}">
                <c16:uniqueId val="{00000007-7B9A-47C4-BE9D-F3D8E5ADBA55}"/>
              </c:ext>
            </c:extLst>
          </c:dPt>
          <c:dPt>
            <c:idx val="4"/>
            <c:bubble3D val="0"/>
            <c:spPr>
              <a:solidFill>
                <a:schemeClr val="accent5"/>
              </a:solidFill>
              <a:ln>
                <a:noFill/>
                <a:prstDash val="solid"/>
              </a:ln>
            </c:spPr>
            <c:extLst>
              <c:ext xmlns:c16="http://schemas.microsoft.com/office/drawing/2014/chart" uri="{C3380CC4-5D6E-409C-BE32-E72D297353CC}">
                <c16:uniqueId val="{00000009-7B9A-47C4-BE9D-F3D8E5ADBA55}"/>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9'!$C$11:$G$11</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9'!$C$16:$G$16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7B9A-47C4-BE9D-F3D8E5ADBA55}"/>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a:latin typeface="Times New Roman" panose="02020603050405020304" pitchFamily="18" charset="0"/>
                <a:cs typeface="Times New Roman" panose="02020603050405020304" pitchFamily="18" charset="0"/>
              </a:defRPr>
            </a:pPr>
            <a:r>
              <a:rPr lang="es-PE" sz="1100">
                <a:latin typeface="Times New Roman" panose="02020603050405020304" pitchFamily="18" charset="0"/>
                <a:cs typeface="Times New Roman" panose="02020603050405020304" pitchFamily="18" charset="0"/>
              </a:rPr>
              <a:t>Porcentaje de representatividad</a:t>
            </a:r>
            <a:r>
              <a:rPr lang="es-PE" sz="1100" baseline="0">
                <a:latin typeface="Times New Roman" panose="02020603050405020304" pitchFamily="18" charset="0"/>
                <a:cs typeface="Times New Roman" panose="02020603050405020304" pitchFamily="18" charset="0"/>
              </a:rPr>
              <a:t> - Requisitos de Mejora</a:t>
            </a:r>
          </a:p>
        </c:rich>
      </c:tx>
      <c:overlay val="0"/>
    </c:title>
    <c:autoTitleDeleted val="0"/>
    <c:plotArea>
      <c:layout>
        <c:manualLayout>
          <c:layoutTarget val="inner"/>
          <c:xMode val="edge"/>
          <c:yMode val="edge"/>
          <c:x val="0.1333714547817445"/>
          <c:y val="0.1759281532397525"/>
          <c:w val="0.45905644318731997"/>
          <c:h val="0.71086723603121715"/>
        </c:manualLayout>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10'!$B$12:$B$13</c:f>
              <c:strCache>
                <c:ptCount val="2"/>
                <c:pt idx="0">
                  <c:v>10.1 Generalidades</c:v>
                </c:pt>
                <c:pt idx="1">
                  <c:v>10.2 No conformidad y acción correctiva</c:v>
                </c:pt>
              </c:strCache>
            </c:strRef>
          </c:cat>
          <c:val>
            <c:numRef>
              <c:f>'ANÁLISIS 10'!$I$12:$I$13</c:f>
              <c:numCache>
                <c:formatCode>#,##0</c:formatCode>
                <c:ptCount val="2"/>
                <c:pt idx="0">
                  <c:v>0</c:v>
                </c:pt>
                <c:pt idx="1">
                  <c:v>0</c:v>
                </c:pt>
              </c:numCache>
            </c:numRef>
          </c:val>
          <c:extLst>
            <c:ext xmlns:c16="http://schemas.microsoft.com/office/drawing/2014/chart" uri="{C3380CC4-5D6E-409C-BE32-E72D297353CC}">
              <c16:uniqueId val="{00000000-D096-40FA-924B-D3AFF5DE375E}"/>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10</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B367-4F9F-9037-82A750D6172D}"/>
              </c:ext>
            </c:extLst>
          </c:dPt>
          <c:dPt>
            <c:idx val="1"/>
            <c:bubble3D val="0"/>
            <c:spPr>
              <a:solidFill>
                <a:schemeClr val="accent2"/>
              </a:solidFill>
              <a:ln>
                <a:noFill/>
                <a:prstDash val="solid"/>
              </a:ln>
            </c:spPr>
            <c:extLst>
              <c:ext xmlns:c16="http://schemas.microsoft.com/office/drawing/2014/chart" uri="{C3380CC4-5D6E-409C-BE32-E72D297353CC}">
                <c16:uniqueId val="{00000003-B367-4F9F-9037-82A750D6172D}"/>
              </c:ext>
            </c:extLst>
          </c:dPt>
          <c:dPt>
            <c:idx val="2"/>
            <c:bubble3D val="0"/>
            <c:spPr>
              <a:solidFill>
                <a:schemeClr val="accent3"/>
              </a:solidFill>
              <a:ln>
                <a:noFill/>
                <a:prstDash val="solid"/>
              </a:ln>
            </c:spPr>
            <c:extLst>
              <c:ext xmlns:c16="http://schemas.microsoft.com/office/drawing/2014/chart" uri="{C3380CC4-5D6E-409C-BE32-E72D297353CC}">
                <c16:uniqueId val="{00000005-B367-4F9F-9037-82A750D6172D}"/>
              </c:ext>
            </c:extLst>
          </c:dPt>
          <c:dPt>
            <c:idx val="3"/>
            <c:bubble3D val="0"/>
            <c:spPr>
              <a:solidFill>
                <a:schemeClr val="accent4"/>
              </a:solidFill>
              <a:ln>
                <a:noFill/>
                <a:prstDash val="solid"/>
              </a:ln>
            </c:spPr>
            <c:extLst>
              <c:ext xmlns:c16="http://schemas.microsoft.com/office/drawing/2014/chart" uri="{C3380CC4-5D6E-409C-BE32-E72D297353CC}">
                <c16:uniqueId val="{00000007-B367-4F9F-9037-82A750D6172D}"/>
              </c:ext>
            </c:extLst>
          </c:dPt>
          <c:dPt>
            <c:idx val="4"/>
            <c:bubble3D val="0"/>
            <c:spPr>
              <a:solidFill>
                <a:schemeClr val="accent5"/>
              </a:solidFill>
              <a:ln>
                <a:noFill/>
                <a:prstDash val="solid"/>
              </a:ln>
            </c:spPr>
            <c:extLst>
              <c:ext xmlns:c16="http://schemas.microsoft.com/office/drawing/2014/chart" uri="{C3380CC4-5D6E-409C-BE32-E72D297353CC}">
                <c16:uniqueId val="{00000009-B367-4F9F-9037-82A750D6172D}"/>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10'!$C$10:$G$10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10'!$C$14:$G$14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B367-4F9F-9037-82A750D6172D}"/>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11</xdr:col>
      <xdr:colOff>13137</xdr:colOff>
      <xdr:row>19</xdr:row>
      <xdr:rowOff>22857</xdr:rowOff>
    </xdr:from>
    <xdr:to>
      <xdr:col>14</xdr:col>
      <xdr:colOff>47625</xdr:colOff>
      <xdr:row>38</xdr:row>
      <xdr:rowOff>99494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26004</xdr:colOff>
      <xdr:row>41</xdr:row>
      <xdr:rowOff>60982</xdr:rowOff>
    </xdr:from>
    <xdr:to>
      <xdr:col>14</xdr:col>
      <xdr:colOff>35720</xdr:colOff>
      <xdr:row>54</xdr:row>
      <xdr:rowOff>23812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755536</xdr:colOff>
      <xdr:row>19</xdr:row>
      <xdr:rowOff>156143</xdr:rowOff>
    </xdr:from>
    <xdr:to>
      <xdr:col>3</xdr:col>
      <xdr:colOff>272143</xdr:colOff>
      <xdr:row>35</xdr:row>
      <xdr:rowOff>81644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531360</xdr:colOff>
      <xdr:row>19</xdr:row>
      <xdr:rowOff>166348</xdr:rowOff>
    </xdr:from>
    <xdr:to>
      <xdr:col>10</xdr:col>
      <xdr:colOff>639536</xdr:colOff>
      <xdr:row>35</xdr:row>
      <xdr:rowOff>95251</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33336</xdr:colOff>
      <xdr:row>19</xdr:row>
      <xdr:rowOff>0</xdr:rowOff>
    </xdr:from>
    <xdr:to>
      <xdr:col>3</xdr:col>
      <xdr:colOff>190499</xdr:colOff>
      <xdr:row>35</xdr:row>
      <xdr:rowOff>47626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416720</xdr:colOff>
      <xdr:row>19</xdr:row>
      <xdr:rowOff>23812</xdr:rowOff>
    </xdr:from>
    <xdr:to>
      <xdr:col>9</xdr:col>
      <xdr:colOff>642937</xdr:colOff>
      <xdr:row>35</xdr:row>
      <xdr:rowOff>47624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757918</xdr:colOff>
      <xdr:row>20</xdr:row>
      <xdr:rowOff>172811</xdr:rowOff>
    </xdr:from>
    <xdr:to>
      <xdr:col>5</xdr:col>
      <xdr:colOff>81643</xdr:colOff>
      <xdr:row>38</xdr:row>
      <xdr:rowOff>149678</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380999</xdr:colOff>
      <xdr:row>21</xdr:row>
      <xdr:rowOff>27213</xdr:rowOff>
    </xdr:from>
    <xdr:to>
      <xdr:col>13</xdr:col>
      <xdr:colOff>54428</xdr:colOff>
      <xdr:row>38</xdr:row>
      <xdr:rowOff>176891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43542</xdr:colOff>
      <xdr:row>21</xdr:row>
      <xdr:rowOff>59869</xdr:rowOff>
    </xdr:from>
    <xdr:to>
      <xdr:col>5</xdr:col>
      <xdr:colOff>136072</xdr:colOff>
      <xdr:row>39</xdr:row>
      <xdr:rowOff>95250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435429</xdr:colOff>
      <xdr:row>21</xdr:row>
      <xdr:rowOff>27215</xdr:rowOff>
    </xdr:from>
    <xdr:to>
      <xdr:col>12</xdr:col>
      <xdr:colOff>517073</xdr:colOff>
      <xdr:row>39</xdr:row>
      <xdr:rowOff>108858</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18</xdr:row>
      <xdr:rowOff>46265</xdr:rowOff>
    </xdr:from>
    <xdr:to>
      <xdr:col>6</xdr:col>
      <xdr:colOff>435428</xdr:colOff>
      <xdr:row>41</xdr:row>
      <xdr:rowOff>95250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544284</xdr:colOff>
      <xdr:row>17</xdr:row>
      <xdr:rowOff>149677</xdr:rowOff>
    </xdr:from>
    <xdr:to>
      <xdr:col>15</xdr:col>
      <xdr:colOff>598714</xdr:colOff>
      <xdr:row>38</xdr:row>
      <xdr:rowOff>122464</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48985</xdr:colOff>
      <xdr:row>20</xdr:row>
      <xdr:rowOff>59871</xdr:rowOff>
    </xdr:from>
    <xdr:to>
      <xdr:col>4</xdr:col>
      <xdr:colOff>734786</xdr:colOff>
      <xdr:row>38</xdr:row>
      <xdr:rowOff>27214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409574</xdr:colOff>
      <xdr:row>20</xdr:row>
      <xdr:rowOff>61233</xdr:rowOff>
    </xdr:from>
    <xdr:to>
      <xdr:col>11</xdr:col>
      <xdr:colOff>503464</xdr:colOff>
      <xdr:row>38</xdr:row>
      <xdr:rowOff>1</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20410</xdr:colOff>
      <xdr:row>20</xdr:row>
      <xdr:rowOff>1</xdr:rowOff>
    </xdr:from>
    <xdr:to>
      <xdr:col>6</xdr:col>
      <xdr:colOff>81643</xdr:colOff>
      <xdr:row>38</xdr:row>
      <xdr:rowOff>163285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707571</xdr:colOff>
      <xdr:row>20</xdr:row>
      <xdr:rowOff>13607</xdr:rowOff>
    </xdr:from>
    <xdr:to>
      <xdr:col>13</xdr:col>
      <xdr:colOff>693964</xdr:colOff>
      <xdr:row>39</xdr:row>
      <xdr:rowOff>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Austin">
      <a:dk1>
        <a:sysClr val="windowText" lastClr="000000"/>
      </a:dk1>
      <a:lt1>
        <a:sysClr val="window" lastClr="FFFFFF"/>
      </a:lt1>
      <a:dk2>
        <a:srgbClr val="3E3D2D"/>
      </a:dk2>
      <a:lt2>
        <a:srgbClr val="CAF278"/>
      </a:lt2>
      <a:accent1>
        <a:srgbClr val="94C600"/>
      </a:accent1>
      <a:accent2>
        <a:srgbClr val="71685A"/>
      </a:accent2>
      <a:accent3>
        <a:srgbClr val="FF6700"/>
      </a:accent3>
      <a:accent4>
        <a:srgbClr val="909465"/>
      </a:accent4>
      <a:accent5>
        <a:srgbClr val="956B43"/>
      </a:accent5>
      <a:accent6>
        <a:srgbClr val="FEA022"/>
      </a:accent6>
      <a:hlink>
        <a:srgbClr val="E68200"/>
      </a:hlink>
      <a:folHlink>
        <a:srgbClr val="FFA94A"/>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0"/>
  <sheetViews>
    <sheetView showGridLines="0" zoomScaleNormal="100" workbookViewId="0">
      <selection activeCell="I6" sqref="I6"/>
    </sheetView>
  </sheetViews>
  <sheetFormatPr defaultColWidth="9.109375" defaultRowHeight="14.4" x14ac:dyDescent="0.3"/>
  <cols>
    <col min="2" max="2" width="29.109375" style="1" customWidth="1"/>
    <col min="3" max="3" width="41.88671875" style="1" customWidth="1"/>
    <col min="6" max="6" width="23.109375" bestFit="1" customWidth="1"/>
    <col min="7" max="7" width="17.109375" bestFit="1" customWidth="1"/>
  </cols>
  <sheetData>
    <row r="2" spans="2:7" ht="15.75" customHeight="1" thickBot="1" x14ac:dyDescent="0.35"/>
    <row r="3" spans="2:7" ht="30.75" customHeight="1" thickBot="1" x14ac:dyDescent="0.35">
      <c r="B3" s="158" t="s">
        <v>0</v>
      </c>
      <c r="C3" s="159"/>
      <c r="F3" s="158" t="s">
        <v>1</v>
      </c>
      <c r="G3" s="159"/>
    </row>
    <row r="4" spans="2:7" ht="30.75" customHeight="1" thickBot="1" x14ac:dyDescent="0.35">
      <c r="B4" s="36" t="s">
        <v>2</v>
      </c>
      <c r="C4" s="37" t="s">
        <v>3</v>
      </c>
      <c r="F4" s="36" t="s">
        <v>2</v>
      </c>
      <c r="G4" s="37" t="s">
        <v>4</v>
      </c>
    </row>
    <row r="5" spans="2:7" ht="30.75" customHeight="1" x14ac:dyDescent="0.3">
      <c r="B5" s="34">
        <v>0</v>
      </c>
      <c r="C5" s="35" t="s">
        <v>5</v>
      </c>
      <c r="F5" s="34" t="s">
        <v>6</v>
      </c>
      <c r="G5" s="35" t="s">
        <v>7</v>
      </c>
    </row>
    <row r="6" spans="2:7" ht="30.75" customHeight="1" x14ac:dyDescent="0.3">
      <c r="B6" s="30">
        <v>0.25</v>
      </c>
      <c r="C6" s="31" t="s">
        <v>8</v>
      </c>
      <c r="F6" s="30" t="s">
        <v>9</v>
      </c>
      <c r="G6" s="31" t="s">
        <v>10</v>
      </c>
    </row>
    <row r="7" spans="2:7" ht="30.75" customHeight="1" x14ac:dyDescent="0.3">
      <c r="B7" s="30">
        <v>0.5</v>
      </c>
      <c r="C7" s="31" t="s">
        <v>11</v>
      </c>
      <c r="F7" s="30" t="s">
        <v>12</v>
      </c>
      <c r="G7" s="31" t="s">
        <v>13</v>
      </c>
    </row>
    <row r="8" spans="2:7" ht="30.75" customHeight="1" x14ac:dyDescent="0.3">
      <c r="B8" s="30">
        <v>0.75</v>
      </c>
      <c r="C8" s="31" t="s">
        <v>14</v>
      </c>
      <c r="F8" s="30" t="s">
        <v>15</v>
      </c>
      <c r="G8" s="31" t="s">
        <v>16</v>
      </c>
    </row>
    <row r="9" spans="2:7" ht="30.75" customHeight="1" thickBot="1" x14ac:dyDescent="0.35">
      <c r="B9" s="30">
        <v>1</v>
      </c>
      <c r="C9" s="31" t="s">
        <v>17</v>
      </c>
      <c r="F9" s="123">
        <v>1</v>
      </c>
      <c r="G9" s="125" t="s">
        <v>18</v>
      </c>
    </row>
    <row r="10" spans="2:7" ht="30.75" customHeight="1" thickBot="1" x14ac:dyDescent="0.35">
      <c r="B10" s="32" t="s">
        <v>19</v>
      </c>
      <c r="C10" s="33" t="s">
        <v>20</v>
      </c>
      <c r="F10" s="124"/>
    </row>
  </sheetData>
  <mergeCells count="2">
    <mergeCell ref="F3:G3"/>
    <mergeCell ref="B3:C3"/>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4"/>
  <sheetViews>
    <sheetView tabSelected="1" topLeftCell="A178" zoomScaleNormal="100" workbookViewId="0">
      <selection activeCell="F188" sqref="F188"/>
    </sheetView>
  </sheetViews>
  <sheetFormatPr defaultColWidth="11.44140625" defaultRowHeight="15" x14ac:dyDescent="0.25"/>
  <cols>
    <col min="1" max="1" width="77.44140625" style="140" customWidth="1"/>
    <col min="2" max="2" width="10.5546875" style="138" customWidth="1"/>
    <col min="3" max="3" width="11.44140625" style="139" customWidth="1"/>
    <col min="4" max="4" width="11.109375" style="139" customWidth="1"/>
    <col min="5" max="5" width="10.44140625" style="139" customWidth="1"/>
    <col min="6" max="6" width="10.6640625" style="139" customWidth="1"/>
    <col min="7" max="7" width="11.44140625" style="139" customWidth="1"/>
    <col min="8" max="8" width="25.5546875" style="139" customWidth="1"/>
    <col min="9" max="11" width="11.44140625" style="139" customWidth="1"/>
    <col min="12" max="16384" width="11.44140625" style="139"/>
  </cols>
  <sheetData>
    <row r="1" spans="1:8" ht="37.950000000000003" customHeight="1" thickBot="1" x14ac:dyDescent="0.35">
      <c r="A1" s="164" t="s">
        <v>21</v>
      </c>
      <c r="B1" s="165"/>
      <c r="C1" s="165"/>
      <c r="D1" s="165"/>
      <c r="E1" s="165"/>
      <c r="F1" s="165"/>
      <c r="G1" s="165"/>
      <c r="H1" s="165"/>
    </row>
    <row r="2" spans="1:8" ht="15.75" customHeight="1" thickTop="1" x14ac:dyDescent="0.25"/>
    <row r="3" spans="1:8" ht="20.7" customHeight="1" thickBot="1" x14ac:dyDescent="0.3">
      <c r="A3" s="134" t="s">
        <v>22</v>
      </c>
      <c r="B3" s="38"/>
      <c r="C3" s="40"/>
      <c r="D3" s="40"/>
      <c r="E3" s="40"/>
      <c r="F3" s="40"/>
      <c r="G3" s="40"/>
      <c r="H3" s="40"/>
    </row>
    <row r="4" spans="1:8" ht="15.75" customHeight="1" thickTop="1" x14ac:dyDescent="0.25">
      <c r="A4" s="135"/>
      <c r="B4" s="39"/>
      <c r="C4" s="138"/>
      <c r="D4" s="138"/>
      <c r="E4" s="138"/>
      <c r="F4" s="138"/>
      <c r="G4" s="138"/>
    </row>
    <row r="5" spans="1:8" ht="20.7" customHeight="1" thickBot="1" x14ac:dyDescent="0.3">
      <c r="A5" s="136" t="s">
        <v>23</v>
      </c>
      <c r="B5" s="41"/>
      <c r="C5" s="40"/>
      <c r="D5" s="40"/>
      <c r="E5" s="40"/>
      <c r="F5" s="40"/>
      <c r="G5" s="40"/>
      <c r="H5" s="40"/>
    </row>
    <row r="6" spans="1:8" ht="15.75" customHeight="1" thickTop="1" x14ac:dyDescent="0.25">
      <c r="A6" s="137"/>
      <c r="C6" s="138"/>
      <c r="D6" s="138"/>
      <c r="E6" s="138"/>
      <c r="F6" s="138"/>
      <c r="G6" s="138"/>
    </row>
    <row r="7" spans="1:8" ht="20.7" customHeight="1" thickBot="1" x14ac:dyDescent="0.3">
      <c r="A7" s="136" t="s">
        <v>24</v>
      </c>
      <c r="B7" s="41"/>
      <c r="C7" s="40"/>
      <c r="D7" s="40"/>
      <c r="E7" s="40"/>
      <c r="F7" s="40"/>
      <c r="G7" s="40"/>
      <c r="H7" s="40"/>
    </row>
    <row r="8" spans="1:8" ht="15" customHeight="1" thickTop="1" x14ac:dyDescent="0.25">
      <c r="A8" s="166" t="s">
        <v>25</v>
      </c>
      <c r="B8" s="167"/>
      <c r="C8" s="168"/>
      <c r="D8" s="168"/>
      <c r="E8" s="168"/>
      <c r="F8" s="168"/>
      <c r="G8" s="168"/>
      <c r="H8" s="168"/>
    </row>
    <row r="9" spans="1:8" x14ac:dyDescent="0.25">
      <c r="A9" s="169"/>
      <c r="B9" s="167"/>
      <c r="C9" s="168"/>
      <c r="D9" s="168"/>
      <c r="E9" s="168"/>
      <c r="F9" s="168"/>
      <c r="G9" s="168"/>
      <c r="H9" s="168"/>
    </row>
    <row r="10" spans="1:8" x14ac:dyDescent="0.25">
      <c r="A10" s="169"/>
      <c r="B10" s="167"/>
      <c r="C10" s="168"/>
      <c r="D10" s="168"/>
      <c r="E10" s="168"/>
      <c r="F10" s="168"/>
      <c r="G10" s="168"/>
      <c r="H10" s="168"/>
    </row>
    <row r="11" spans="1:8" ht="67.5" customHeight="1" x14ac:dyDescent="0.25">
      <c r="A11" s="170"/>
      <c r="B11" s="170"/>
      <c r="C11" s="170"/>
      <c r="D11" s="170"/>
      <c r="E11" s="170"/>
      <c r="F11" s="170"/>
      <c r="G11" s="170"/>
      <c r="H11" s="170"/>
    </row>
    <row r="12" spans="1:8" ht="21" customHeight="1" x14ac:dyDescent="0.3">
      <c r="A12" s="160" t="s">
        <v>26</v>
      </c>
      <c r="B12" s="161"/>
      <c r="C12" s="161"/>
      <c r="D12" s="161"/>
      <c r="E12" s="161"/>
      <c r="F12" s="161"/>
      <c r="G12" s="161"/>
      <c r="H12" s="162"/>
    </row>
    <row r="13" spans="1:8" ht="18" customHeight="1" x14ac:dyDescent="0.3">
      <c r="A13" s="163" t="s">
        <v>27</v>
      </c>
      <c r="B13" s="161"/>
      <c r="C13" s="161"/>
      <c r="D13" s="161"/>
      <c r="E13" s="161"/>
      <c r="F13" s="161"/>
      <c r="G13" s="161"/>
      <c r="H13" s="162"/>
    </row>
    <row r="14" spans="1:8" ht="15.75" customHeight="1" x14ac:dyDescent="0.25">
      <c r="A14" s="133" t="s">
        <v>28</v>
      </c>
      <c r="B14" s="132">
        <v>0</v>
      </c>
      <c r="C14" s="132">
        <v>0.25</v>
      </c>
      <c r="D14" s="132">
        <v>0.5</v>
      </c>
      <c r="E14" s="132">
        <v>0.75</v>
      </c>
      <c r="F14" s="132">
        <v>1</v>
      </c>
      <c r="G14" s="130" t="s">
        <v>19</v>
      </c>
      <c r="H14" s="130" t="s">
        <v>29</v>
      </c>
    </row>
    <row r="15" spans="1:8" ht="28.5" customHeight="1" x14ac:dyDescent="0.25">
      <c r="A15" s="128" t="s">
        <v>30</v>
      </c>
      <c r="B15" s="131"/>
      <c r="C15" s="131"/>
      <c r="D15" s="131"/>
      <c r="E15" s="131"/>
      <c r="F15" s="131"/>
      <c r="G15" s="131"/>
      <c r="H15" s="131"/>
    </row>
    <row r="16" spans="1:8" ht="28.5" customHeight="1" x14ac:dyDescent="0.25">
      <c r="A16" s="128" t="s">
        <v>32</v>
      </c>
      <c r="B16" s="131"/>
      <c r="C16" s="131"/>
      <c r="D16" s="131"/>
      <c r="E16" s="131"/>
      <c r="F16" s="131"/>
      <c r="G16" s="131"/>
      <c r="H16" s="131"/>
    </row>
    <row r="17" spans="1:8" ht="28.5" customHeight="1" x14ac:dyDescent="0.25">
      <c r="A17" s="128" t="s">
        <v>33</v>
      </c>
      <c r="B17" s="131"/>
      <c r="C17" s="131"/>
      <c r="D17" s="131"/>
      <c r="E17" s="131"/>
      <c r="F17" s="131"/>
      <c r="G17" s="131"/>
      <c r="H17" s="131"/>
    </row>
    <row r="18" spans="1:8" ht="28.5" customHeight="1" x14ac:dyDescent="0.25">
      <c r="A18" s="128" t="s">
        <v>34</v>
      </c>
      <c r="B18" s="131"/>
      <c r="C18" s="131"/>
      <c r="D18" s="131"/>
      <c r="E18" s="131"/>
      <c r="F18" s="131"/>
      <c r="G18" s="131"/>
      <c r="H18" s="131"/>
    </row>
    <row r="19" spans="1:8" ht="18" customHeight="1" x14ac:dyDescent="0.3">
      <c r="A19" s="163" t="s">
        <v>35</v>
      </c>
      <c r="B19" s="161"/>
      <c r="C19" s="161"/>
      <c r="D19" s="161"/>
      <c r="E19" s="161"/>
      <c r="F19" s="161"/>
      <c r="G19" s="161"/>
      <c r="H19" s="162"/>
    </row>
    <row r="20" spans="1:8" ht="15.75" customHeight="1" x14ac:dyDescent="0.25">
      <c r="A20" s="133" t="s">
        <v>28</v>
      </c>
      <c r="B20" s="132">
        <v>0</v>
      </c>
      <c r="C20" s="132">
        <v>0.25</v>
      </c>
      <c r="D20" s="132" t="s">
        <v>31</v>
      </c>
      <c r="E20" s="132">
        <v>0.75</v>
      </c>
      <c r="F20" s="132">
        <v>1</v>
      </c>
      <c r="G20" s="130" t="s">
        <v>19</v>
      </c>
      <c r="H20" s="130" t="s">
        <v>29</v>
      </c>
    </row>
    <row r="21" spans="1:8" x14ac:dyDescent="0.25">
      <c r="A21" s="128" t="s">
        <v>36</v>
      </c>
      <c r="B21" s="131"/>
      <c r="C21" s="131"/>
      <c r="D21" s="131"/>
      <c r="E21" s="131"/>
      <c r="F21" s="131"/>
      <c r="G21" s="131"/>
      <c r="H21" s="131"/>
    </row>
    <row r="22" spans="1:8" x14ac:dyDescent="0.25">
      <c r="A22" s="128" t="s">
        <v>37</v>
      </c>
      <c r="B22" s="131"/>
      <c r="C22" s="131"/>
      <c r="D22" s="131"/>
      <c r="E22" s="131"/>
      <c r="F22" s="131"/>
      <c r="G22" s="131"/>
      <c r="H22" s="131"/>
    </row>
    <row r="23" spans="1:8" ht="28.5" customHeight="1" x14ac:dyDescent="0.25">
      <c r="A23" s="128" t="s">
        <v>38</v>
      </c>
      <c r="B23" s="131"/>
      <c r="C23" s="131"/>
      <c r="D23" s="131"/>
      <c r="E23" s="131"/>
      <c r="F23" s="131"/>
      <c r="G23" s="131"/>
      <c r="H23" s="131"/>
    </row>
    <row r="24" spans="1:8" ht="28.5" customHeight="1" x14ac:dyDescent="0.25">
      <c r="A24" s="128" t="s">
        <v>39</v>
      </c>
      <c r="B24" s="131"/>
      <c r="C24" s="131"/>
      <c r="D24" s="131"/>
      <c r="E24" s="131"/>
      <c r="F24" s="131"/>
      <c r="G24" s="131"/>
      <c r="H24" s="131"/>
    </row>
    <row r="25" spans="1:8" ht="28.5" customHeight="1" x14ac:dyDescent="0.25">
      <c r="A25" s="128" t="s">
        <v>40</v>
      </c>
      <c r="B25" s="131"/>
      <c r="C25" s="131"/>
      <c r="D25" s="131"/>
      <c r="E25" s="131"/>
      <c r="F25" s="131"/>
      <c r="G25" s="131"/>
      <c r="H25" s="131"/>
    </row>
    <row r="26" spans="1:8" ht="18" customHeight="1" x14ac:dyDescent="0.3">
      <c r="A26" s="163" t="s">
        <v>41</v>
      </c>
      <c r="B26" s="161"/>
      <c r="C26" s="161"/>
      <c r="D26" s="161"/>
      <c r="E26" s="161"/>
      <c r="F26" s="161"/>
      <c r="G26" s="161"/>
      <c r="H26" s="162"/>
    </row>
    <row r="27" spans="1:8" ht="15.75" customHeight="1" x14ac:dyDescent="0.25">
      <c r="A27" s="133" t="s">
        <v>28</v>
      </c>
      <c r="B27" s="132">
        <v>0</v>
      </c>
      <c r="C27" s="132">
        <v>0.25</v>
      </c>
      <c r="D27" s="132">
        <v>0.5</v>
      </c>
      <c r="E27" s="132" t="s">
        <v>31</v>
      </c>
      <c r="F27" s="132">
        <v>1</v>
      </c>
      <c r="G27" s="130" t="s">
        <v>19</v>
      </c>
      <c r="H27" s="130" t="s">
        <v>29</v>
      </c>
    </row>
    <row r="28" spans="1:8" ht="28.5" customHeight="1" x14ac:dyDescent="0.25">
      <c r="A28" s="128" t="s">
        <v>42</v>
      </c>
      <c r="B28" s="131"/>
      <c r="C28" s="131"/>
      <c r="D28" s="131"/>
      <c r="E28" s="131"/>
      <c r="F28" s="131"/>
      <c r="G28" s="131"/>
      <c r="H28" s="131"/>
    </row>
    <row r="29" spans="1:8" ht="28.5" customHeight="1" x14ac:dyDescent="0.25">
      <c r="A29" s="128" t="s">
        <v>43</v>
      </c>
      <c r="B29" s="131"/>
      <c r="C29" s="131"/>
      <c r="D29" s="131"/>
      <c r="E29" s="131"/>
      <c r="F29" s="131"/>
      <c r="G29" s="131"/>
      <c r="H29" s="131"/>
    </row>
    <row r="30" spans="1:8" ht="28.5" customHeight="1" x14ac:dyDescent="0.25">
      <c r="A30" s="128" t="s">
        <v>44</v>
      </c>
      <c r="B30" s="131"/>
      <c r="C30" s="131"/>
      <c r="D30" s="131"/>
      <c r="E30" s="131"/>
      <c r="F30" s="131"/>
      <c r="G30" s="131"/>
      <c r="H30" s="131"/>
    </row>
    <row r="31" spans="1:8" ht="28.5" customHeight="1" x14ac:dyDescent="0.25">
      <c r="A31" s="128" t="s">
        <v>45</v>
      </c>
      <c r="B31" s="131"/>
      <c r="C31" s="131"/>
      <c r="D31" s="131"/>
      <c r="E31" s="131"/>
      <c r="F31" s="131"/>
      <c r="G31" s="131"/>
      <c r="H31" s="131"/>
    </row>
    <row r="32" spans="1:8" ht="28.5" customHeight="1" x14ac:dyDescent="0.25">
      <c r="A32" s="128" t="s">
        <v>46</v>
      </c>
      <c r="B32" s="131"/>
      <c r="C32" s="131"/>
      <c r="D32" s="131"/>
      <c r="E32" s="131"/>
      <c r="F32" s="131"/>
      <c r="G32" s="131"/>
      <c r="H32" s="131"/>
    </row>
    <row r="33" spans="1:8" ht="18" customHeight="1" x14ac:dyDescent="0.3">
      <c r="A33" s="163" t="s">
        <v>47</v>
      </c>
      <c r="B33" s="161"/>
      <c r="C33" s="161"/>
      <c r="D33" s="161"/>
      <c r="E33" s="161"/>
      <c r="F33" s="161"/>
      <c r="G33" s="161"/>
      <c r="H33" s="162"/>
    </row>
    <row r="34" spans="1:8" ht="15.75" customHeight="1" x14ac:dyDescent="0.25">
      <c r="A34" s="133" t="s">
        <v>28</v>
      </c>
      <c r="B34" s="132">
        <v>0</v>
      </c>
      <c r="C34" s="132">
        <v>0.25</v>
      </c>
      <c r="D34" s="132">
        <v>0.5</v>
      </c>
      <c r="E34" s="132">
        <v>0.75</v>
      </c>
      <c r="F34" s="132">
        <v>1</v>
      </c>
      <c r="G34" s="132" t="s">
        <v>19</v>
      </c>
      <c r="H34" s="130" t="s">
        <v>29</v>
      </c>
    </row>
    <row r="35" spans="1:8" ht="28.5" customHeight="1" x14ac:dyDescent="0.25">
      <c r="A35" s="128" t="s">
        <v>48</v>
      </c>
      <c r="B35" s="131"/>
      <c r="C35" s="131"/>
      <c r="D35" s="131"/>
      <c r="E35" s="131"/>
      <c r="F35" s="131"/>
      <c r="G35" s="131"/>
      <c r="H35" s="131"/>
    </row>
    <row r="36" spans="1:8" ht="28.5" customHeight="1" x14ac:dyDescent="0.25">
      <c r="A36" s="128" t="s">
        <v>49</v>
      </c>
      <c r="B36" s="131"/>
      <c r="C36" s="131"/>
      <c r="D36" s="131"/>
      <c r="E36" s="131"/>
      <c r="F36" s="131"/>
      <c r="G36" s="131"/>
      <c r="H36" s="131"/>
    </row>
    <row r="37" spans="1:8" ht="28.5" customHeight="1" x14ac:dyDescent="0.25">
      <c r="A37" s="128" t="s">
        <v>50</v>
      </c>
      <c r="B37" s="131"/>
      <c r="C37" s="131"/>
      <c r="D37" s="131"/>
      <c r="E37" s="131"/>
      <c r="F37" s="131"/>
      <c r="G37" s="131"/>
      <c r="H37" s="131"/>
    </row>
    <row r="38" spans="1:8" ht="21" customHeight="1" x14ac:dyDescent="0.3">
      <c r="A38" s="160" t="s">
        <v>51</v>
      </c>
      <c r="B38" s="161"/>
      <c r="C38" s="161"/>
      <c r="D38" s="161"/>
      <c r="E38" s="161"/>
      <c r="F38" s="161"/>
      <c r="G38" s="161"/>
      <c r="H38" s="162"/>
    </row>
    <row r="39" spans="1:8" ht="18" customHeight="1" x14ac:dyDescent="0.3">
      <c r="A39" s="163" t="s">
        <v>52</v>
      </c>
      <c r="B39" s="161"/>
      <c r="C39" s="161"/>
      <c r="D39" s="161"/>
      <c r="E39" s="161"/>
      <c r="F39" s="161"/>
      <c r="G39" s="161"/>
      <c r="H39" s="162"/>
    </row>
    <row r="40" spans="1:8" ht="15.75" customHeight="1" x14ac:dyDescent="0.25">
      <c r="A40" s="133" t="s">
        <v>53</v>
      </c>
      <c r="B40" s="132">
        <v>0</v>
      </c>
      <c r="C40" s="132">
        <v>0.25</v>
      </c>
      <c r="D40" s="132">
        <v>0.5</v>
      </c>
      <c r="E40" s="132">
        <v>0.75</v>
      </c>
      <c r="F40" s="132">
        <v>1</v>
      </c>
      <c r="G40" s="132" t="s">
        <v>19</v>
      </c>
      <c r="H40" s="130" t="s">
        <v>29</v>
      </c>
    </row>
    <row r="41" spans="1:8" ht="28.5" customHeight="1" x14ac:dyDescent="0.25">
      <c r="A41" s="127" t="s">
        <v>54</v>
      </c>
      <c r="B41" s="131"/>
      <c r="C41" s="131"/>
      <c r="D41" s="131"/>
      <c r="E41" s="131"/>
      <c r="F41" s="131"/>
      <c r="G41" s="131"/>
      <c r="H41" s="131"/>
    </row>
    <row r="42" spans="1:8" ht="28.5" customHeight="1" x14ac:dyDescent="0.25">
      <c r="A42" s="127" t="s">
        <v>55</v>
      </c>
      <c r="B42" s="131"/>
      <c r="C42" s="131"/>
      <c r="D42" s="131"/>
      <c r="E42" s="131"/>
      <c r="F42" s="131"/>
      <c r="G42" s="131"/>
      <c r="H42" s="131"/>
    </row>
    <row r="43" spans="1:8" x14ac:dyDescent="0.25">
      <c r="A43" s="127" t="s">
        <v>56</v>
      </c>
      <c r="B43" s="131"/>
      <c r="C43" s="131"/>
      <c r="D43" s="131"/>
      <c r="E43" s="131"/>
      <c r="F43" s="131"/>
      <c r="G43" s="131"/>
      <c r="H43" s="131"/>
    </row>
    <row r="44" spans="1:8" ht="28.5" customHeight="1" x14ac:dyDescent="0.25">
      <c r="A44" s="127" t="s">
        <v>57</v>
      </c>
      <c r="B44" s="131"/>
      <c r="C44" s="131"/>
      <c r="D44" s="131"/>
      <c r="E44" s="131"/>
      <c r="F44" s="131"/>
      <c r="G44" s="131"/>
      <c r="H44" s="131"/>
    </row>
    <row r="45" spans="1:8" ht="18" customHeight="1" x14ac:dyDescent="0.3">
      <c r="A45" s="163" t="s">
        <v>58</v>
      </c>
      <c r="B45" s="161"/>
      <c r="C45" s="161"/>
      <c r="D45" s="161"/>
      <c r="E45" s="161"/>
      <c r="F45" s="161"/>
      <c r="G45" s="161"/>
      <c r="H45" s="162"/>
    </row>
    <row r="46" spans="1:8" ht="15.75" customHeight="1" x14ac:dyDescent="0.25">
      <c r="A46" s="133" t="s">
        <v>53</v>
      </c>
      <c r="B46" s="132">
        <v>0</v>
      </c>
      <c r="C46" s="132">
        <v>0.25</v>
      </c>
      <c r="D46" s="132">
        <v>0.5</v>
      </c>
      <c r="E46" s="132">
        <v>0.75</v>
      </c>
      <c r="F46" s="132">
        <v>1</v>
      </c>
      <c r="G46" s="132" t="s">
        <v>19</v>
      </c>
      <c r="H46" s="130" t="s">
        <v>29</v>
      </c>
    </row>
    <row r="47" spans="1:8" ht="28.5" customHeight="1" x14ac:dyDescent="0.25">
      <c r="A47" s="128" t="s">
        <v>59</v>
      </c>
      <c r="B47" s="131"/>
      <c r="C47" s="131"/>
      <c r="D47" s="131"/>
      <c r="E47" s="131"/>
      <c r="F47" s="131"/>
      <c r="G47" s="131"/>
      <c r="H47" s="131"/>
    </row>
    <row r="48" spans="1:8" x14ac:dyDescent="0.25">
      <c r="A48" s="128" t="s">
        <v>60</v>
      </c>
      <c r="B48" s="131"/>
      <c r="C48" s="131"/>
      <c r="D48" s="131"/>
      <c r="E48" s="131"/>
      <c r="F48" s="131"/>
      <c r="G48" s="131"/>
      <c r="H48" s="131"/>
    </row>
    <row r="49" spans="1:8" x14ac:dyDescent="0.25">
      <c r="A49" s="128" t="s">
        <v>61</v>
      </c>
      <c r="B49" s="131"/>
      <c r="C49" s="131"/>
      <c r="D49" s="131"/>
      <c r="E49" s="131"/>
      <c r="F49" s="131"/>
      <c r="G49" s="131"/>
      <c r="H49" s="131"/>
    </row>
    <row r="50" spans="1:8" ht="42.75" customHeight="1" x14ac:dyDescent="0.25">
      <c r="A50" s="128" t="s">
        <v>62</v>
      </c>
      <c r="B50" s="131"/>
      <c r="C50" s="131"/>
      <c r="D50" s="131"/>
      <c r="E50" s="131"/>
      <c r="F50" s="131"/>
      <c r="G50" s="131"/>
      <c r="H50" s="131"/>
    </row>
    <row r="51" spans="1:8" ht="28.5" customHeight="1" x14ac:dyDescent="0.25">
      <c r="A51" s="128" t="s">
        <v>63</v>
      </c>
      <c r="B51" s="131"/>
      <c r="C51" s="131"/>
      <c r="D51" s="131"/>
      <c r="E51" s="131"/>
      <c r="F51" s="131"/>
      <c r="G51" s="131"/>
      <c r="H51" s="131"/>
    </row>
    <row r="52" spans="1:8" ht="28.5" customHeight="1" x14ac:dyDescent="0.25">
      <c r="A52" s="128" t="s">
        <v>64</v>
      </c>
      <c r="B52" s="131"/>
      <c r="C52" s="131"/>
      <c r="D52" s="131"/>
      <c r="E52" s="131"/>
      <c r="F52" s="131"/>
      <c r="G52" s="131"/>
      <c r="H52" s="131"/>
    </row>
    <row r="53" spans="1:8" ht="18" customHeight="1" x14ac:dyDescent="0.3">
      <c r="A53" s="163" t="s">
        <v>65</v>
      </c>
      <c r="B53" s="161"/>
      <c r="C53" s="161"/>
      <c r="D53" s="161"/>
      <c r="E53" s="161"/>
      <c r="F53" s="161"/>
      <c r="G53" s="161"/>
      <c r="H53" s="162"/>
    </row>
    <row r="54" spans="1:8" ht="15.75" customHeight="1" x14ac:dyDescent="0.25">
      <c r="A54" s="133" t="s">
        <v>66</v>
      </c>
      <c r="B54" s="132">
        <v>0</v>
      </c>
      <c r="C54" s="132">
        <v>0.25</v>
      </c>
      <c r="D54" s="132" t="s">
        <v>31</v>
      </c>
      <c r="E54" s="132">
        <v>0.75</v>
      </c>
      <c r="F54" s="132">
        <v>1</v>
      </c>
      <c r="G54" s="132" t="s">
        <v>19</v>
      </c>
      <c r="H54" s="130" t="s">
        <v>29</v>
      </c>
    </row>
    <row r="55" spans="1:8" ht="28.5" customHeight="1" x14ac:dyDescent="0.25">
      <c r="A55" s="128" t="s">
        <v>67</v>
      </c>
      <c r="B55" s="131"/>
      <c r="C55" s="131"/>
      <c r="D55" s="131"/>
      <c r="E55" s="131"/>
      <c r="F55" s="131"/>
      <c r="G55" s="131"/>
      <c r="H55" s="131"/>
    </row>
    <row r="56" spans="1:8" ht="42.75" customHeight="1" x14ac:dyDescent="0.25">
      <c r="A56" s="128" t="s">
        <v>68</v>
      </c>
      <c r="B56" s="131"/>
      <c r="C56" s="131"/>
      <c r="D56" s="131"/>
      <c r="E56" s="131"/>
      <c r="F56" s="131"/>
      <c r="G56" s="131"/>
      <c r="H56" s="131"/>
    </row>
    <row r="57" spans="1:8" ht="21" customHeight="1" x14ac:dyDescent="0.3">
      <c r="A57" s="160" t="s">
        <v>69</v>
      </c>
      <c r="B57" s="161"/>
      <c r="C57" s="161"/>
      <c r="D57" s="161"/>
      <c r="E57" s="161"/>
      <c r="F57" s="161"/>
      <c r="G57" s="161"/>
      <c r="H57" s="162"/>
    </row>
    <row r="58" spans="1:8" ht="18" customHeight="1" x14ac:dyDescent="0.3">
      <c r="A58" s="163" t="s">
        <v>70</v>
      </c>
      <c r="B58" s="161"/>
      <c r="C58" s="161"/>
      <c r="D58" s="161"/>
      <c r="E58" s="161"/>
      <c r="F58" s="161"/>
      <c r="G58" s="161"/>
      <c r="H58" s="162"/>
    </row>
    <row r="59" spans="1:8" ht="15.75" customHeight="1" x14ac:dyDescent="0.25">
      <c r="A59" s="133" t="s">
        <v>71</v>
      </c>
      <c r="B59" s="132">
        <v>0</v>
      </c>
      <c r="C59" s="132">
        <v>0.25</v>
      </c>
      <c r="D59" s="132">
        <v>0.5</v>
      </c>
      <c r="E59" s="132">
        <v>0.75</v>
      </c>
      <c r="F59" s="132" t="s">
        <v>31</v>
      </c>
      <c r="G59" s="132" t="s">
        <v>19</v>
      </c>
      <c r="H59" s="130" t="s">
        <v>29</v>
      </c>
    </row>
    <row r="60" spans="1:8" ht="28.5" customHeight="1" x14ac:dyDescent="0.25">
      <c r="A60" s="127" t="s">
        <v>72</v>
      </c>
      <c r="B60" s="131"/>
      <c r="C60" s="131"/>
      <c r="D60" s="131"/>
      <c r="E60" s="131"/>
      <c r="F60" s="131"/>
      <c r="G60" s="131"/>
      <c r="H60" s="131"/>
    </row>
    <row r="61" spans="1:8" ht="28.5" customHeight="1" x14ac:dyDescent="0.25">
      <c r="A61" s="127" t="s">
        <v>73</v>
      </c>
      <c r="B61" s="131"/>
      <c r="C61" s="131"/>
      <c r="D61" s="131"/>
      <c r="E61" s="131"/>
      <c r="F61" s="131"/>
      <c r="G61" s="131"/>
      <c r="H61" s="131"/>
    </row>
    <row r="62" spans="1:8" ht="28.5" customHeight="1" x14ac:dyDescent="0.25">
      <c r="A62" s="128" t="s">
        <v>74</v>
      </c>
      <c r="B62" s="131"/>
      <c r="C62" s="131"/>
      <c r="D62" s="131"/>
      <c r="E62" s="131"/>
      <c r="F62" s="131"/>
      <c r="G62" s="131"/>
      <c r="H62" s="131"/>
    </row>
    <row r="63" spans="1:8" ht="28.5" customHeight="1" x14ac:dyDescent="0.25">
      <c r="A63" s="128" t="s">
        <v>75</v>
      </c>
      <c r="B63" s="131"/>
      <c r="C63" s="131"/>
      <c r="D63" s="131"/>
      <c r="E63" s="131"/>
      <c r="F63" s="131"/>
      <c r="G63" s="131"/>
      <c r="H63" s="131"/>
    </row>
    <row r="64" spans="1:8" ht="28.5" customHeight="1" x14ac:dyDescent="0.25">
      <c r="A64" s="128" t="s">
        <v>76</v>
      </c>
      <c r="B64" s="131"/>
      <c r="C64" s="131"/>
      <c r="D64" s="131"/>
      <c r="E64" s="131"/>
      <c r="F64" s="131"/>
      <c r="G64" s="131"/>
      <c r="H64" s="131"/>
    </row>
    <row r="65" spans="1:12" ht="28.5" customHeight="1" x14ac:dyDescent="0.25">
      <c r="A65" s="128" t="s">
        <v>77</v>
      </c>
      <c r="B65" s="131"/>
      <c r="C65" s="131"/>
      <c r="D65" s="131"/>
      <c r="E65" s="131"/>
      <c r="F65" s="131"/>
      <c r="G65" s="131"/>
      <c r="H65" s="131"/>
    </row>
    <row r="66" spans="1:12" ht="28.5" customHeight="1" x14ac:dyDescent="0.25">
      <c r="A66" s="128" t="s">
        <v>78</v>
      </c>
      <c r="B66" s="131"/>
      <c r="C66" s="131"/>
      <c r="D66" s="131"/>
      <c r="E66" s="131"/>
      <c r="F66" s="131"/>
      <c r="G66" s="131"/>
      <c r="H66" s="131"/>
    </row>
    <row r="67" spans="1:12" ht="28.5" customHeight="1" x14ac:dyDescent="0.25">
      <c r="A67" s="128" t="s">
        <v>79</v>
      </c>
      <c r="B67" s="131"/>
      <c r="C67" s="131"/>
      <c r="D67" s="131"/>
      <c r="E67" s="131"/>
      <c r="F67" s="131"/>
      <c r="G67" s="131"/>
      <c r="H67" s="131"/>
    </row>
    <row r="68" spans="1:12" x14ac:dyDescent="0.25">
      <c r="A68" s="128" t="s">
        <v>80</v>
      </c>
      <c r="B68" s="131"/>
      <c r="C68" s="131"/>
      <c r="D68" s="131"/>
      <c r="E68" s="131"/>
      <c r="F68" s="131"/>
      <c r="G68" s="131"/>
      <c r="H68" s="131"/>
    </row>
    <row r="69" spans="1:12" ht="28.5" customHeight="1" x14ac:dyDescent="0.25">
      <c r="A69" s="128" t="s">
        <v>81</v>
      </c>
      <c r="B69" s="131"/>
      <c r="C69" s="131"/>
      <c r="D69" s="131"/>
      <c r="E69" s="131"/>
      <c r="F69" s="131"/>
      <c r="G69" s="131"/>
      <c r="H69" s="131"/>
    </row>
    <row r="70" spans="1:12" ht="28.5" customHeight="1" x14ac:dyDescent="0.25">
      <c r="A70" s="128" t="s">
        <v>82</v>
      </c>
      <c r="B70" s="131"/>
      <c r="C70" s="131"/>
      <c r="D70" s="131"/>
      <c r="E70" s="131"/>
      <c r="F70" s="131"/>
      <c r="G70" s="131"/>
      <c r="H70" s="131"/>
    </row>
    <row r="71" spans="1:12" ht="42.75" customHeight="1" x14ac:dyDescent="0.25">
      <c r="A71" s="128" t="s">
        <v>83</v>
      </c>
      <c r="B71" s="131"/>
      <c r="C71" s="131"/>
      <c r="D71" s="131"/>
      <c r="E71" s="131"/>
      <c r="F71" s="131"/>
      <c r="G71" s="131"/>
      <c r="H71" s="131"/>
    </row>
    <row r="72" spans="1:12" ht="42.75" customHeight="1" x14ac:dyDescent="0.25">
      <c r="A72" s="128" t="s">
        <v>84</v>
      </c>
      <c r="B72" s="131"/>
      <c r="C72" s="131"/>
      <c r="D72" s="131"/>
      <c r="E72" s="131"/>
      <c r="F72" s="131"/>
      <c r="G72" s="131"/>
      <c r="H72" s="131"/>
    </row>
    <row r="73" spans="1:12" ht="28.5" customHeight="1" x14ac:dyDescent="0.3">
      <c r="A73" s="128" t="s">
        <v>85</v>
      </c>
      <c r="B73" s="131"/>
      <c r="C73" s="131"/>
      <c r="D73" s="131"/>
      <c r="E73" s="131"/>
      <c r="F73" s="131"/>
      <c r="G73" s="131"/>
      <c r="H73" s="131"/>
      <c r="I73" s="2"/>
      <c r="J73" s="2"/>
      <c r="K73" s="2"/>
      <c r="L73" s="2"/>
    </row>
    <row r="74" spans="1:12" ht="28.5" customHeight="1" x14ac:dyDescent="0.3">
      <c r="A74" s="128" t="s">
        <v>86</v>
      </c>
      <c r="B74" s="131"/>
      <c r="C74" s="131"/>
      <c r="D74" s="131"/>
      <c r="E74" s="131"/>
      <c r="F74" s="131"/>
      <c r="G74" s="131"/>
      <c r="H74" s="131"/>
      <c r="I74" s="2"/>
      <c r="J74" s="2"/>
      <c r="K74" s="2"/>
      <c r="L74" s="2"/>
    </row>
    <row r="75" spans="1:12" ht="28.5" customHeight="1" x14ac:dyDescent="0.3">
      <c r="A75" s="128" t="s">
        <v>87</v>
      </c>
      <c r="B75" s="131"/>
      <c r="C75" s="131"/>
      <c r="D75" s="131"/>
      <c r="E75" s="131"/>
      <c r="F75" s="131"/>
      <c r="G75" s="131"/>
      <c r="H75" s="131"/>
      <c r="I75" s="2"/>
      <c r="J75" s="2"/>
      <c r="K75" s="2"/>
      <c r="L75" s="2"/>
    </row>
    <row r="76" spans="1:12" ht="18" customHeight="1" x14ac:dyDescent="0.3">
      <c r="A76" s="163" t="s">
        <v>88</v>
      </c>
      <c r="B76" s="161"/>
      <c r="C76" s="161"/>
      <c r="D76" s="161"/>
      <c r="E76" s="161"/>
      <c r="F76" s="161"/>
      <c r="G76" s="161"/>
      <c r="H76" s="162"/>
      <c r="I76" s="2"/>
      <c r="J76" s="2"/>
      <c r="K76" s="2"/>
      <c r="L76" s="2"/>
    </row>
    <row r="77" spans="1:12" ht="15.75" customHeight="1" x14ac:dyDescent="0.3">
      <c r="A77" s="133" t="s">
        <v>28</v>
      </c>
      <c r="B77" s="132">
        <v>0</v>
      </c>
      <c r="C77" s="132">
        <v>0.25</v>
      </c>
      <c r="D77" s="132">
        <v>0.5</v>
      </c>
      <c r="E77" s="132">
        <v>0.75</v>
      </c>
      <c r="F77" s="132">
        <v>1</v>
      </c>
      <c r="G77" s="132" t="s">
        <v>19</v>
      </c>
      <c r="H77" s="130" t="s">
        <v>29</v>
      </c>
      <c r="I77" s="2"/>
      <c r="J77" s="2"/>
      <c r="K77" s="2"/>
      <c r="L77" s="2"/>
    </row>
    <row r="78" spans="1:12" ht="28.5" customHeight="1" x14ac:dyDescent="0.3">
      <c r="A78" s="128" t="s">
        <v>89</v>
      </c>
      <c r="B78" s="131"/>
      <c r="C78" s="131"/>
      <c r="D78" s="131"/>
      <c r="E78" s="131"/>
      <c r="F78" s="131"/>
      <c r="G78" s="131"/>
      <c r="H78" s="131"/>
      <c r="I78" s="2"/>
      <c r="J78" s="2"/>
      <c r="K78" s="2"/>
      <c r="L78" s="2"/>
    </row>
    <row r="79" spans="1:12" ht="28.5" customHeight="1" x14ac:dyDescent="0.3">
      <c r="A79" s="128" t="s">
        <v>90</v>
      </c>
      <c r="B79" s="131"/>
      <c r="C79" s="131"/>
      <c r="D79" s="131"/>
      <c r="E79" s="131"/>
      <c r="F79" s="131"/>
      <c r="G79" s="131"/>
      <c r="H79" s="131"/>
      <c r="I79" s="2"/>
      <c r="J79" s="2"/>
      <c r="K79" s="2"/>
      <c r="L79" s="2"/>
    </row>
    <row r="80" spans="1:12" ht="15.45" customHeight="1" x14ac:dyDescent="0.3">
      <c r="A80" s="128" t="s">
        <v>91</v>
      </c>
      <c r="B80" s="131"/>
      <c r="C80" s="131"/>
      <c r="D80" s="131"/>
      <c r="E80" s="131"/>
      <c r="F80" s="131"/>
      <c r="G80" s="131"/>
      <c r="H80" s="131"/>
      <c r="I80" s="2"/>
      <c r="J80" s="2"/>
      <c r="K80" s="2"/>
      <c r="L80" s="2"/>
    </row>
    <row r="81" spans="1:12" ht="28.5" customHeight="1" x14ac:dyDescent="0.3">
      <c r="A81" s="128" t="s">
        <v>92</v>
      </c>
      <c r="B81" s="131"/>
      <c r="C81" s="131"/>
      <c r="D81" s="131"/>
      <c r="E81" s="131"/>
      <c r="F81" s="131"/>
      <c r="G81" s="131"/>
      <c r="H81" s="131"/>
      <c r="I81" s="2"/>
      <c r="J81" s="2"/>
      <c r="K81" s="2"/>
      <c r="L81" s="2"/>
    </row>
    <row r="82" spans="1:12" ht="28.5" customHeight="1" x14ac:dyDescent="0.3">
      <c r="A82" s="128" t="s">
        <v>93</v>
      </c>
      <c r="B82" s="131"/>
      <c r="C82" s="131"/>
      <c r="D82" s="131"/>
      <c r="E82" s="131"/>
      <c r="F82" s="131"/>
      <c r="G82" s="131"/>
      <c r="H82" s="131"/>
      <c r="I82" s="2"/>
      <c r="J82" s="2"/>
      <c r="K82" s="2"/>
      <c r="L82" s="2"/>
    </row>
    <row r="83" spans="1:12" ht="18" customHeight="1" x14ac:dyDescent="0.3">
      <c r="A83" s="163" t="s">
        <v>94</v>
      </c>
      <c r="B83" s="161"/>
      <c r="C83" s="161"/>
      <c r="D83" s="161"/>
      <c r="E83" s="161"/>
      <c r="F83" s="161"/>
      <c r="G83" s="161"/>
      <c r="H83" s="162"/>
      <c r="I83" s="2"/>
      <c r="J83" s="2"/>
      <c r="K83" s="2"/>
    </row>
    <row r="84" spans="1:12" ht="15.75" customHeight="1" x14ac:dyDescent="0.3">
      <c r="A84" s="133" t="s">
        <v>28</v>
      </c>
      <c r="B84" s="132">
        <v>0</v>
      </c>
      <c r="C84" s="132">
        <v>0.25</v>
      </c>
      <c r="D84" s="132">
        <v>0.5</v>
      </c>
      <c r="E84" s="132">
        <v>0.75</v>
      </c>
      <c r="F84" s="132">
        <v>1</v>
      </c>
      <c r="G84" s="132" t="s">
        <v>19</v>
      </c>
      <c r="H84" s="130" t="s">
        <v>29</v>
      </c>
      <c r="I84" s="2"/>
      <c r="J84" s="2"/>
      <c r="K84" s="2"/>
    </row>
    <row r="85" spans="1:12" ht="28.5" customHeight="1" x14ac:dyDescent="0.3">
      <c r="A85" s="128" t="s">
        <v>95</v>
      </c>
      <c r="B85" s="131"/>
      <c r="C85" s="131"/>
      <c r="D85" s="131"/>
      <c r="E85" s="131"/>
      <c r="F85" s="131"/>
      <c r="G85" s="131"/>
      <c r="H85" s="131"/>
      <c r="I85" s="2"/>
      <c r="J85" s="2"/>
      <c r="K85" s="2"/>
    </row>
    <row r="86" spans="1:12" ht="42.75" customHeight="1" x14ac:dyDescent="0.3">
      <c r="A86" s="128" t="s">
        <v>96</v>
      </c>
      <c r="B86" s="131"/>
      <c r="C86" s="131"/>
      <c r="D86" s="131"/>
      <c r="E86" s="131"/>
      <c r="F86" s="131"/>
      <c r="G86" s="131"/>
      <c r="H86" s="131"/>
      <c r="I86" s="2"/>
      <c r="J86" s="2"/>
      <c r="K86" s="2"/>
    </row>
    <row r="87" spans="1:12" ht="28.5" customHeight="1" x14ac:dyDescent="0.3">
      <c r="A87" s="128" t="s">
        <v>97</v>
      </c>
      <c r="B87" s="131"/>
      <c r="C87" s="131"/>
      <c r="D87" s="131"/>
      <c r="E87" s="131"/>
      <c r="F87" s="131"/>
      <c r="G87" s="131"/>
      <c r="H87" s="131"/>
      <c r="I87" s="2"/>
      <c r="J87" s="2"/>
      <c r="K87" s="2"/>
    </row>
    <row r="88" spans="1:12" ht="21" customHeight="1" x14ac:dyDescent="0.3">
      <c r="A88" s="160" t="s">
        <v>98</v>
      </c>
      <c r="B88" s="161"/>
      <c r="C88" s="161"/>
      <c r="D88" s="161"/>
      <c r="E88" s="161"/>
      <c r="F88" s="161"/>
      <c r="G88" s="161"/>
      <c r="H88" s="162"/>
    </row>
    <row r="89" spans="1:12" ht="18" customHeight="1" x14ac:dyDescent="0.3">
      <c r="A89" s="163" t="s">
        <v>99</v>
      </c>
      <c r="B89" s="161"/>
      <c r="C89" s="161"/>
      <c r="D89" s="161"/>
      <c r="E89" s="161"/>
      <c r="F89" s="161"/>
      <c r="G89" s="161"/>
      <c r="H89" s="162"/>
    </row>
    <row r="90" spans="1:12" ht="15.75" customHeight="1" x14ac:dyDescent="0.25">
      <c r="A90" s="133" t="s">
        <v>28</v>
      </c>
      <c r="B90" s="132">
        <v>0</v>
      </c>
      <c r="C90" s="132">
        <v>0.25</v>
      </c>
      <c r="D90" s="132">
        <v>0.5</v>
      </c>
      <c r="E90" s="132">
        <v>0.75</v>
      </c>
      <c r="F90" s="132">
        <v>1</v>
      </c>
      <c r="G90" s="132" t="s">
        <v>19</v>
      </c>
      <c r="H90" s="130" t="s">
        <v>29</v>
      </c>
    </row>
    <row r="91" spans="1:12" ht="42.75" customHeight="1" x14ac:dyDescent="0.25">
      <c r="A91" s="127" t="s">
        <v>100</v>
      </c>
      <c r="B91" s="131"/>
      <c r="C91" s="131"/>
      <c r="D91" s="131"/>
      <c r="E91" s="131"/>
      <c r="F91" s="131"/>
      <c r="G91" s="131"/>
      <c r="H91" s="131"/>
    </row>
    <row r="92" spans="1:12" ht="18" customHeight="1" x14ac:dyDescent="0.3">
      <c r="A92" s="163" t="s">
        <v>101</v>
      </c>
      <c r="B92" s="161"/>
      <c r="C92" s="161"/>
      <c r="D92" s="161"/>
      <c r="E92" s="161"/>
      <c r="F92" s="161"/>
      <c r="G92" s="161"/>
      <c r="H92" s="162"/>
    </row>
    <row r="93" spans="1:12" ht="15.75" customHeight="1" x14ac:dyDescent="0.25">
      <c r="A93" s="133" t="s">
        <v>28</v>
      </c>
      <c r="B93" s="132">
        <v>0</v>
      </c>
      <c r="C93" s="132">
        <v>0.25</v>
      </c>
      <c r="D93" s="132">
        <v>0.5</v>
      </c>
      <c r="E93" s="132">
        <v>0.75</v>
      </c>
      <c r="F93" s="132">
        <v>1</v>
      </c>
      <c r="G93" s="132" t="s">
        <v>19</v>
      </c>
      <c r="H93" s="130" t="s">
        <v>29</v>
      </c>
    </row>
    <row r="94" spans="1:12" ht="28.5" customHeight="1" x14ac:dyDescent="0.25">
      <c r="A94" s="128" t="s">
        <v>102</v>
      </c>
      <c r="B94" s="131"/>
      <c r="C94" s="131"/>
      <c r="D94" s="131"/>
      <c r="E94" s="131"/>
      <c r="F94" s="131"/>
      <c r="G94" s="131"/>
      <c r="H94" s="131"/>
    </row>
    <row r="95" spans="1:12" ht="28.5" customHeight="1" x14ac:dyDescent="0.25">
      <c r="A95" s="128" t="s">
        <v>103</v>
      </c>
      <c r="B95" s="131"/>
      <c r="C95" s="131"/>
      <c r="D95" s="131"/>
      <c r="E95" s="131"/>
      <c r="F95" s="131"/>
      <c r="G95" s="131"/>
      <c r="H95" s="131"/>
    </row>
    <row r="96" spans="1:12" ht="28.5" customHeight="1" x14ac:dyDescent="0.25">
      <c r="A96" s="128" t="s">
        <v>104</v>
      </c>
      <c r="B96" s="131"/>
      <c r="C96" s="131"/>
      <c r="D96" s="131"/>
      <c r="E96" s="131"/>
      <c r="F96" s="131"/>
      <c r="G96" s="131"/>
      <c r="H96" s="131"/>
    </row>
    <row r="97" spans="1:8" ht="28.8" x14ac:dyDescent="0.25">
      <c r="A97" s="128" t="s">
        <v>105</v>
      </c>
      <c r="B97" s="131"/>
      <c r="C97" s="131"/>
      <c r="D97" s="131"/>
      <c r="E97" s="131"/>
      <c r="F97" s="131"/>
      <c r="G97" s="131"/>
      <c r="H97" s="131"/>
    </row>
    <row r="98" spans="1:8" ht="18" customHeight="1" x14ac:dyDescent="0.3">
      <c r="A98" s="163" t="s">
        <v>106</v>
      </c>
      <c r="B98" s="161"/>
      <c r="C98" s="161"/>
      <c r="D98" s="161"/>
      <c r="E98" s="161"/>
      <c r="F98" s="161"/>
      <c r="G98" s="161"/>
      <c r="H98" s="162"/>
    </row>
    <row r="99" spans="1:8" ht="15.75" customHeight="1" x14ac:dyDescent="0.25">
      <c r="A99" s="133" t="s">
        <v>107</v>
      </c>
      <c r="B99" s="132">
        <v>0</v>
      </c>
      <c r="C99" s="132">
        <v>0.25</v>
      </c>
      <c r="D99" s="132">
        <v>0.5</v>
      </c>
      <c r="E99" s="132">
        <v>0.75</v>
      </c>
      <c r="F99" s="132">
        <v>1</v>
      </c>
      <c r="G99" s="132" t="s">
        <v>19</v>
      </c>
      <c r="H99" s="130" t="s">
        <v>29</v>
      </c>
    </row>
    <row r="100" spans="1:8" ht="28.5" customHeight="1" x14ac:dyDescent="0.25">
      <c r="A100" s="128" t="s">
        <v>108</v>
      </c>
      <c r="B100" s="131"/>
      <c r="C100" s="131"/>
      <c r="D100" s="131"/>
      <c r="E100" s="131"/>
      <c r="F100" s="131"/>
      <c r="G100" s="131"/>
      <c r="H100" s="131"/>
    </row>
    <row r="101" spans="1:8" ht="28.5" customHeight="1" x14ac:dyDescent="0.25">
      <c r="A101" s="128" t="s">
        <v>109</v>
      </c>
      <c r="B101" s="131"/>
      <c r="C101" s="131"/>
      <c r="D101" s="131"/>
      <c r="E101" s="131"/>
      <c r="F101" s="131"/>
      <c r="G101" s="131"/>
      <c r="H101" s="131"/>
    </row>
    <row r="102" spans="1:8" ht="28.5" customHeight="1" x14ac:dyDescent="0.25">
      <c r="A102" s="128" t="s">
        <v>110</v>
      </c>
      <c r="B102" s="131"/>
      <c r="C102" s="131"/>
      <c r="D102" s="131"/>
      <c r="E102" s="131"/>
      <c r="F102" s="131"/>
      <c r="G102" s="131"/>
      <c r="H102" s="131"/>
    </row>
    <row r="103" spans="1:8" ht="18" customHeight="1" x14ac:dyDescent="0.3">
      <c r="A103" s="163" t="s">
        <v>111</v>
      </c>
      <c r="B103" s="161"/>
      <c r="C103" s="161"/>
      <c r="D103" s="161"/>
      <c r="E103" s="161"/>
      <c r="F103" s="161"/>
      <c r="G103" s="161"/>
      <c r="H103" s="162"/>
    </row>
    <row r="104" spans="1:8" ht="15.75" customHeight="1" x14ac:dyDescent="0.25">
      <c r="A104" s="133" t="s">
        <v>28</v>
      </c>
      <c r="B104" s="132">
        <v>0</v>
      </c>
      <c r="C104" s="132">
        <v>0.25</v>
      </c>
      <c r="D104" s="132">
        <v>0.5</v>
      </c>
      <c r="E104" s="132">
        <v>0.75</v>
      </c>
      <c r="F104" s="132">
        <v>1</v>
      </c>
      <c r="G104" s="132" t="s">
        <v>19</v>
      </c>
      <c r="H104" s="130" t="s">
        <v>29</v>
      </c>
    </row>
    <row r="105" spans="1:8" ht="28.5" customHeight="1" x14ac:dyDescent="0.25">
      <c r="A105" s="128" t="s">
        <v>112</v>
      </c>
      <c r="B105" s="131"/>
      <c r="C105" s="131"/>
      <c r="D105" s="131"/>
      <c r="E105" s="131"/>
      <c r="F105" s="131"/>
      <c r="G105" s="131"/>
      <c r="H105" s="131"/>
    </row>
    <row r="106" spans="1:8" ht="28.5" customHeight="1" x14ac:dyDescent="0.25">
      <c r="A106" s="128" t="s">
        <v>113</v>
      </c>
      <c r="B106" s="131"/>
      <c r="C106" s="131"/>
      <c r="D106" s="131"/>
      <c r="E106" s="131"/>
      <c r="F106" s="131"/>
      <c r="G106" s="131"/>
      <c r="H106" s="131"/>
    </row>
    <row r="107" spans="1:8" ht="28.5" customHeight="1" x14ac:dyDescent="0.25">
      <c r="A107" s="128" t="s">
        <v>114</v>
      </c>
      <c r="B107" s="131"/>
      <c r="C107" s="131"/>
      <c r="D107" s="131"/>
      <c r="E107" s="131"/>
      <c r="F107" s="131"/>
      <c r="G107" s="131"/>
      <c r="H107" s="131"/>
    </row>
    <row r="108" spans="1:8" ht="28.5" customHeight="1" x14ac:dyDescent="0.25">
      <c r="A108" s="128" t="s">
        <v>115</v>
      </c>
      <c r="B108" s="131"/>
      <c r="C108" s="131"/>
      <c r="D108" s="131"/>
      <c r="E108" s="131"/>
      <c r="F108" s="131"/>
      <c r="G108" s="131"/>
      <c r="H108" s="131"/>
    </row>
    <row r="109" spans="1:8" ht="28.5" customHeight="1" x14ac:dyDescent="0.25">
      <c r="A109" s="128" t="s">
        <v>116</v>
      </c>
      <c r="B109" s="131"/>
      <c r="C109" s="131"/>
      <c r="D109" s="131"/>
      <c r="E109" s="131"/>
      <c r="F109" s="131"/>
      <c r="G109" s="131"/>
      <c r="H109" s="131"/>
    </row>
    <row r="110" spans="1:8" ht="28.8" x14ac:dyDescent="0.25">
      <c r="A110" s="128" t="s">
        <v>117</v>
      </c>
      <c r="B110" s="131"/>
      <c r="C110" s="131"/>
      <c r="D110" s="131"/>
      <c r="E110" s="131"/>
      <c r="F110" s="131"/>
      <c r="G110" s="131"/>
      <c r="H110" s="131"/>
    </row>
    <row r="111" spans="1:8" ht="28.5" customHeight="1" x14ac:dyDescent="0.25">
      <c r="A111" s="128" t="s">
        <v>118</v>
      </c>
      <c r="B111" s="131"/>
      <c r="C111" s="131"/>
      <c r="D111" s="131"/>
      <c r="E111" s="131"/>
      <c r="F111" s="131"/>
      <c r="G111" s="131"/>
      <c r="H111" s="131"/>
    </row>
    <row r="112" spans="1:8" ht="18" customHeight="1" x14ac:dyDescent="0.3">
      <c r="A112" s="163" t="s">
        <v>119</v>
      </c>
      <c r="B112" s="161"/>
      <c r="C112" s="161"/>
      <c r="D112" s="161"/>
      <c r="E112" s="161"/>
      <c r="F112" s="161"/>
      <c r="G112" s="161"/>
      <c r="H112" s="162"/>
    </row>
    <row r="113" spans="1:8" ht="15.75" customHeight="1" x14ac:dyDescent="0.25">
      <c r="A113" s="133" t="s">
        <v>120</v>
      </c>
      <c r="B113" s="132">
        <v>0</v>
      </c>
      <c r="C113" s="132">
        <v>0.25</v>
      </c>
      <c r="D113" s="132">
        <v>0.5</v>
      </c>
      <c r="E113" s="132">
        <v>0.75</v>
      </c>
      <c r="F113" s="132">
        <v>1</v>
      </c>
      <c r="G113" s="132" t="s">
        <v>19</v>
      </c>
      <c r="H113" s="130" t="s">
        <v>29</v>
      </c>
    </row>
    <row r="114" spans="1:8" x14ac:dyDescent="0.25">
      <c r="A114" s="128" t="s">
        <v>121</v>
      </c>
      <c r="B114" s="131"/>
      <c r="C114" s="131"/>
      <c r="D114" s="131"/>
      <c r="E114" s="131"/>
      <c r="F114" s="131"/>
      <c r="G114" s="131"/>
      <c r="H114" s="131"/>
    </row>
    <row r="115" spans="1:8" ht="28.5" customHeight="1" x14ac:dyDescent="0.25">
      <c r="A115" s="128" t="s">
        <v>122</v>
      </c>
      <c r="B115" s="131"/>
      <c r="C115" s="131"/>
      <c r="D115" s="131"/>
      <c r="E115" s="131"/>
      <c r="F115" s="131"/>
      <c r="G115" s="131"/>
      <c r="H115" s="131"/>
    </row>
    <row r="116" spans="1:8" ht="28.5" customHeight="1" x14ac:dyDescent="0.25">
      <c r="A116" s="128" t="s">
        <v>123</v>
      </c>
      <c r="B116" s="131"/>
      <c r="C116" s="131"/>
      <c r="D116" s="131"/>
      <c r="E116" s="131"/>
      <c r="F116" s="131"/>
      <c r="G116" s="131"/>
      <c r="H116" s="131"/>
    </row>
    <row r="117" spans="1:8" x14ac:dyDescent="0.25">
      <c r="A117" s="128" t="s">
        <v>124</v>
      </c>
      <c r="B117" s="131"/>
      <c r="C117" s="131"/>
      <c r="D117" s="131"/>
      <c r="E117" s="131"/>
      <c r="F117" s="131"/>
      <c r="G117" s="131"/>
      <c r="H117" s="131"/>
    </row>
    <row r="118" spans="1:8" ht="28.5" customHeight="1" x14ac:dyDescent="0.25">
      <c r="A118" s="128" t="s">
        <v>125</v>
      </c>
      <c r="B118" s="131"/>
      <c r="C118" s="131"/>
      <c r="D118" s="131"/>
      <c r="E118" s="131"/>
      <c r="F118" s="131"/>
      <c r="G118" s="131"/>
      <c r="H118" s="131"/>
    </row>
    <row r="119" spans="1:8" ht="28.5" customHeight="1" x14ac:dyDescent="0.25">
      <c r="A119" s="128" t="s">
        <v>126</v>
      </c>
      <c r="B119" s="131"/>
      <c r="C119" s="131"/>
      <c r="D119" s="131"/>
      <c r="E119" s="131"/>
      <c r="F119" s="131"/>
      <c r="G119" s="131"/>
      <c r="H119" s="131"/>
    </row>
    <row r="120" spans="1:8" ht="28.5" customHeight="1" x14ac:dyDescent="0.25">
      <c r="A120" s="128" t="s">
        <v>127</v>
      </c>
      <c r="B120" s="131"/>
      <c r="C120" s="131"/>
      <c r="D120" s="131"/>
      <c r="E120" s="131"/>
      <c r="F120" s="131"/>
      <c r="G120" s="131"/>
      <c r="H120" s="131"/>
    </row>
    <row r="121" spans="1:8" ht="21" customHeight="1" x14ac:dyDescent="0.3">
      <c r="A121" s="160" t="s">
        <v>128</v>
      </c>
      <c r="B121" s="161"/>
      <c r="C121" s="161"/>
      <c r="D121" s="161"/>
      <c r="E121" s="161"/>
      <c r="F121" s="161"/>
      <c r="G121" s="161"/>
      <c r="H121" s="162"/>
    </row>
    <row r="122" spans="1:8" ht="18" customHeight="1" x14ac:dyDescent="0.3">
      <c r="A122" s="163" t="s">
        <v>129</v>
      </c>
      <c r="B122" s="161"/>
      <c r="C122" s="161"/>
      <c r="D122" s="161"/>
      <c r="E122" s="161"/>
      <c r="F122" s="161"/>
      <c r="G122" s="161"/>
      <c r="H122" s="162"/>
    </row>
    <row r="123" spans="1:8" ht="15.75" customHeight="1" x14ac:dyDescent="0.25">
      <c r="A123" s="133" t="s">
        <v>71</v>
      </c>
      <c r="B123" s="132">
        <v>0</v>
      </c>
      <c r="C123" s="132">
        <v>0.25</v>
      </c>
      <c r="D123" s="132">
        <v>0.5</v>
      </c>
      <c r="E123" s="132">
        <v>0.75</v>
      </c>
      <c r="F123" s="132">
        <v>1</v>
      </c>
      <c r="G123" s="132" t="s">
        <v>19</v>
      </c>
      <c r="H123" s="130" t="s">
        <v>29</v>
      </c>
    </row>
    <row r="124" spans="1:8" ht="28.5" customHeight="1" x14ac:dyDescent="0.25">
      <c r="A124" s="127" t="s">
        <v>130</v>
      </c>
      <c r="B124" s="129"/>
      <c r="C124" s="129"/>
      <c r="D124" s="129"/>
      <c r="E124" s="129"/>
      <c r="F124" s="129"/>
      <c r="G124" s="129"/>
      <c r="H124" s="129"/>
    </row>
    <row r="125" spans="1:8" x14ac:dyDescent="0.25">
      <c r="A125" s="127" t="s">
        <v>131</v>
      </c>
      <c r="B125" s="129"/>
      <c r="C125" s="129"/>
      <c r="D125" s="129"/>
      <c r="E125" s="129"/>
      <c r="F125" s="129"/>
      <c r="G125" s="129"/>
      <c r="H125" s="129"/>
    </row>
    <row r="126" spans="1:8" ht="28.5" customHeight="1" x14ac:dyDescent="0.25">
      <c r="A126" s="127" t="s">
        <v>132</v>
      </c>
      <c r="B126" s="129"/>
      <c r="C126" s="129"/>
      <c r="D126" s="129"/>
      <c r="E126" s="129"/>
      <c r="F126" s="129"/>
      <c r="G126" s="129"/>
      <c r="H126" s="129"/>
    </row>
    <row r="127" spans="1:8" ht="28.5" customHeight="1" x14ac:dyDescent="0.25">
      <c r="A127" s="127" t="s">
        <v>133</v>
      </c>
      <c r="B127" s="129"/>
      <c r="C127" s="129"/>
      <c r="D127" s="129"/>
      <c r="E127" s="129"/>
      <c r="F127" s="129"/>
      <c r="G127" s="129"/>
      <c r="H127" s="129"/>
    </row>
    <row r="128" spans="1:8" ht="28.5" customHeight="1" x14ac:dyDescent="0.25">
      <c r="A128" s="127" t="s">
        <v>134</v>
      </c>
      <c r="B128" s="129"/>
      <c r="C128" s="129"/>
      <c r="D128" s="129"/>
      <c r="E128" s="129"/>
      <c r="F128" s="129"/>
      <c r="G128" s="129"/>
      <c r="H128" s="129"/>
    </row>
    <row r="129" spans="1:8" ht="28.5" customHeight="1" x14ac:dyDescent="0.25">
      <c r="A129" s="127" t="s">
        <v>135</v>
      </c>
      <c r="B129" s="129"/>
      <c r="C129" s="129"/>
      <c r="D129" s="129"/>
      <c r="E129" s="129"/>
      <c r="F129" s="129"/>
      <c r="G129" s="129"/>
      <c r="H129" s="129"/>
    </row>
    <row r="130" spans="1:8" ht="28.5" customHeight="1" x14ac:dyDescent="0.25">
      <c r="A130" s="127" t="s">
        <v>136</v>
      </c>
      <c r="B130" s="129"/>
      <c r="C130" s="129"/>
      <c r="D130" s="129"/>
      <c r="E130" s="129"/>
      <c r="F130" s="129"/>
      <c r="G130" s="129"/>
      <c r="H130" s="129"/>
    </row>
    <row r="131" spans="1:8" ht="18" customHeight="1" x14ac:dyDescent="0.3">
      <c r="A131" s="163" t="s">
        <v>137</v>
      </c>
      <c r="B131" s="161"/>
      <c r="C131" s="161"/>
      <c r="D131" s="161"/>
      <c r="E131" s="161"/>
      <c r="F131" s="161"/>
      <c r="G131" s="161"/>
      <c r="H131" s="162"/>
    </row>
    <row r="132" spans="1:8" ht="15.75" customHeight="1" x14ac:dyDescent="0.25">
      <c r="A132" s="133" t="s">
        <v>71</v>
      </c>
      <c r="B132" s="132">
        <v>0</v>
      </c>
      <c r="C132" s="132">
        <v>0.25</v>
      </c>
      <c r="D132" s="132">
        <v>0.5</v>
      </c>
      <c r="E132" s="132">
        <v>0.75</v>
      </c>
      <c r="F132" s="132">
        <v>1</v>
      </c>
      <c r="G132" s="132" t="s">
        <v>19</v>
      </c>
      <c r="H132" s="130" t="s">
        <v>29</v>
      </c>
    </row>
    <row r="133" spans="1:8" ht="28.5" customHeight="1" x14ac:dyDescent="0.25">
      <c r="A133" s="128" t="s">
        <v>138</v>
      </c>
      <c r="B133" s="129"/>
      <c r="C133" s="129"/>
      <c r="D133" s="129"/>
      <c r="E133" s="129"/>
      <c r="F133" s="129"/>
      <c r="G133" s="129"/>
      <c r="H133" s="129"/>
    </row>
    <row r="134" spans="1:8" ht="28.5" customHeight="1" x14ac:dyDescent="0.25">
      <c r="A134" s="128" t="s">
        <v>139</v>
      </c>
      <c r="B134" s="129"/>
      <c r="C134" s="129"/>
      <c r="D134" s="129"/>
      <c r="E134" s="129"/>
      <c r="F134" s="129"/>
      <c r="G134" s="129"/>
      <c r="H134" s="129"/>
    </row>
    <row r="135" spans="1:8" ht="28.5" customHeight="1" x14ac:dyDescent="0.25">
      <c r="A135" s="128" t="s">
        <v>140</v>
      </c>
      <c r="B135" s="129"/>
      <c r="C135" s="129"/>
      <c r="D135" s="129"/>
      <c r="E135" s="129"/>
      <c r="F135" s="129"/>
      <c r="G135" s="129"/>
      <c r="H135" s="129"/>
    </row>
    <row r="136" spans="1:8" ht="42.75" customHeight="1" x14ac:dyDescent="0.25">
      <c r="A136" s="128" t="s">
        <v>141</v>
      </c>
      <c r="B136" s="129"/>
      <c r="C136" s="129"/>
      <c r="D136" s="129"/>
      <c r="E136" s="129"/>
      <c r="F136" s="129"/>
      <c r="G136" s="129"/>
      <c r="H136" s="129"/>
    </row>
    <row r="137" spans="1:8" ht="28.5" customHeight="1" x14ac:dyDescent="0.25">
      <c r="A137" s="128" t="s">
        <v>142</v>
      </c>
      <c r="B137" s="129"/>
      <c r="C137" s="129"/>
      <c r="D137" s="129"/>
      <c r="E137" s="129"/>
      <c r="F137" s="129"/>
      <c r="G137" s="129"/>
      <c r="H137" s="129"/>
    </row>
    <row r="138" spans="1:8" ht="21" customHeight="1" x14ac:dyDescent="0.3">
      <c r="A138" s="160" t="s">
        <v>143</v>
      </c>
      <c r="B138" s="161"/>
      <c r="C138" s="161"/>
      <c r="D138" s="161"/>
      <c r="E138" s="161"/>
      <c r="F138" s="161"/>
      <c r="G138" s="161"/>
      <c r="H138" s="162"/>
    </row>
    <row r="139" spans="1:8" ht="18" customHeight="1" x14ac:dyDescent="0.3">
      <c r="A139" s="163" t="s">
        <v>144</v>
      </c>
      <c r="B139" s="161"/>
      <c r="C139" s="161"/>
      <c r="D139" s="161"/>
      <c r="E139" s="161"/>
      <c r="F139" s="161"/>
      <c r="G139" s="161"/>
      <c r="H139" s="162"/>
    </row>
    <row r="140" spans="1:8" ht="18" customHeight="1" x14ac:dyDescent="0.3">
      <c r="A140" s="163" t="s">
        <v>145</v>
      </c>
      <c r="B140" s="161"/>
      <c r="C140" s="161"/>
      <c r="D140" s="161"/>
      <c r="E140" s="161"/>
      <c r="F140" s="161"/>
      <c r="G140" s="161"/>
      <c r="H140" s="162"/>
    </row>
    <row r="141" spans="1:8" ht="15.75" customHeight="1" x14ac:dyDescent="0.25">
      <c r="A141" s="133" t="s">
        <v>71</v>
      </c>
      <c r="B141" s="132">
        <v>0</v>
      </c>
      <c r="C141" s="132">
        <v>0.25</v>
      </c>
      <c r="D141" s="132">
        <v>0.5</v>
      </c>
      <c r="E141" s="132">
        <v>0.75</v>
      </c>
      <c r="F141" s="132">
        <v>1</v>
      </c>
      <c r="G141" s="132" t="s">
        <v>19</v>
      </c>
      <c r="H141" s="130" t="s">
        <v>29</v>
      </c>
    </row>
    <row r="142" spans="1:8" x14ac:dyDescent="0.25">
      <c r="A142" s="127" t="s">
        <v>146</v>
      </c>
      <c r="B142" s="129"/>
      <c r="C142" s="129"/>
      <c r="D142" s="129"/>
      <c r="E142" s="129"/>
      <c r="F142" s="129"/>
      <c r="G142" s="129"/>
      <c r="H142" s="129"/>
    </row>
    <row r="143" spans="1:8" ht="28.5" customHeight="1" x14ac:dyDescent="0.25">
      <c r="A143" s="127" t="s">
        <v>147</v>
      </c>
      <c r="B143" s="129"/>
      <c r="C143" s="129"/>
      <c r="D143" s="129"/>
      <c r="E143" s="129"/>
      <c r="F143" s="129"/>
      <c r="G143" s="129"/>
      <c r="H143" s="129"/>
    </row>
    <row r="144" spans="1:8" ht="28.5" customHeight="1" x14ac:dyDescent="0.25">
      <c r="A144" s="127" t="s">
        <v>148</v>
      </c>
      <c r="B144" s="129"/>
      <c r="C144" s="129"/>
      <c r="D144" s="129"/>
      <c r="E144" s="129"/>
      <c r="F144" s="129"/>
      <c r="G144" s="129"/>
      <c r="H144" s="129"/>
    </row>
    <row r="145" spans="1:8" ht="28.5" customHeight="1" x14ac:dyDescent="0.25">
      <c r="A145" s="127" t="s">
        <v>149</v>
      </c>
      <c r="B145" s="129"/>
      <c r="C145" s="129"/>
      <c r="D145" s="129"/>
      <c r="E145" s="129"/>
      <c r="F145" s="129"/>
      <c r="G145" s="129"/>
      <c r="H145" s="129"/>
    </row>
    <row r="146" spans="1:8" ht="28.5" customHeight="1" x14ac:dyDescent="0.25">
      <c r="A146" s="127" t="s">
        <v>150</v>
      </c>
      <c r="B146" s="129"/>
      <c r="C146" s="129"/>
      <c r="D146" s="129"/>
      <c r="E146" s="129"/>
      <c r="F146" s="129"/>
      <c r="G146" s="129"/>
      <c r="H146" s="129"/>
    </row>
    <row r="147" spans="1:8" ht="28.5" customHeight="1" x14ac:dyDescent="0.25">
      <c r="A147" s="127" t="s">
        <v>151</v>
      </c>
      <c r="B147" s="129"/>
      <c r="C147" s="129"/>
      <c r="D147" s="129"/>
      <c r="E147" s="129"/>
      <c r="F147" s="129"/>
      <c r="G147" s="129"/>
      <c r="H147" s="129"/>
    </row>
    <row r="148" spans="1:8" ht="18" customHeight="1" x14ac:dyDescent="0.3">
      <c r="A148" s="163" t="s">
        <v>152</v>
      </c>
      <c r="B148" s="161"/>
      <c r="C148" s="161"/>
      <c r="D148" s="161"/>
      <c r="E148" s="161"/>
      <c r="F148" s="161"/>
      <c r="G148" s="161"/>
      <c r="H148" s="162"/>
    </row>
    <row r="149" spans="1:8" ht="15.75" customHeight="1" x14ac:dyDescent="0.25">
      <c r="A149" s="133" t="s">
        <v>71</v>
      </c>
      <c r="B149" s="132">
        <v>0</v>
      </c>
      <c r="C149" s="132">
        <v>0.25</v>
      </c>
      <c r="D149" s="132">
        <v>0.5</v>
      </c>
      <c r="E149" s="132">
        <v>0.75</v>
      </c>
      <c r="F149" s="132">
        <v>1</v>
      </c>
      <c r="G149" s="132" t="s">
        <v>19</v>
      </c>
      <c r="H149" s="130" t="s">
        <v>29</v>
      </c>
    </row>
    <row r="150" spans="1:8" ht="28.5" customHeight="1" x14ac:dyDescent="0.25">
      <c r="A150" s="128" t="s">
        <v>153</v>
      </c>
      <c r="B150" s="129"/>
      <c r="C150" s="129"/>
      <c r="D150" s="129"/>
      <c r="E150" s="129"/>
      <c r="F150" s="129"/>
      <c r="G150" s="129"/>
      <c r="H150" s="129"/>
    </row>
    <row r="151" spans="1:8" ht="28.5" customHeight="1" x14ac:dyDescent="0.25">
      <c r="A151" s="128" t="s">
        <v>154</v>
      </c>
      <c r="B151" s="129"/>
      <c r="C151" s="129"/>
      <c r="D151" s="129"/>
      <c r="E151" s="129"/>
      <c r="F151" s="129"/>
      <c r="G151" s="129"/>
      <c r="H151" s="129"/>
    </row>
    <row r="152" spans="1:8" ht="28.5" customHeight="1" x14ac:dyDescent="0.25">
      <c r="A152" s="128" t="s">
        <v>155</v>
      </c>
      <c r="B152" s="129"/>
      <c r="C152" s="129"/>
      <c r="D152" s="129"/>
      <c r="E152" s="129"/>
      <c r="F152" s="129"/>
      <c r="G152" s="129"/>
      <c r="H152" s="129"/>
    </row>
    <row r="153" spans="1:8" ht="18" customHeight="1" x14ac:dyDescent="0.3">
      <c r="A153" s="163" t="s">
        <v>156</v>
      </c>
      <c r="B153" s="161"/>
      <c r="C153" s="161"/>
      <c r="D153" s="161"/>
      <c r="E153" s="161"/>
      <c r="F153" s="161"/>
      <c r="G153" s="161"/>
      <c r="H153" s="162"/>
    </row>
    <row r="154" spans="1:8" ht="18" customHeight="1" x14ac:dyDescent="0.3">
      <c r="A154" s="163" t="s">
        <v>157</v>
      </c>
      <c r="B154" s="161"/>
      <c r="C154" s="161"/>
      <c r="D154" s="161"/>
      <c r="E154" s="161"/>
      <c r="F154" s="161"/>
      <c r="G154" s="161"/>
      <c r="H154" s="162"/>
    </row>
    <row r="155" spans="1:8" ht="31.5" customHeight="1" x14ac:dyDescent="0.25">
      <c r="A155" s="133" t="s">
        <v>158</v>
      </c>
      <c r="B155" s="132">
        <v>0</v>
      </c>
      <c r="C155" s="132">
        <v>0.25</v>
      </c>
      <c r="D155" s="132">
        <v>0.5</v>
      </c>
      <c r="E155" s="132">
        <v>0.75</v>
      </c>
      <c r="F155" s="132">
        <v>1</v>
      </c>
      <c r="G155" s="132" t="s">
        <v>19</v>
      </c>
      <c r="H155" s="130" t="s">
        <v>29</v>
      </c>
    </row>
    <row r="156" spans="1:8" x14ac:dyDescent="0.25">
      <c r="A156" s="128" t="s">
        <v>159</v>
      </c>
      <c r="B156" s="129"/>
      <c r="C156" s="129"/>
      <c r="D156" s="129"/>
      <c r="E156" s="129"/>
      <c r="F156" s="129"/>
      <c r="G156" s="129"/>
      <c r="H156" s="129"/>
    </row>
    <row r="157" spans="1:8" x14ac:dyDescent="0.25">
      <c r="A157" s="128" t="s">
        <v>160</v>
      </c>
      <c r="B157" s="129"/>
      <c r="C157" s="129"/>
      <c r="D157" s="129"/>
      <c r="E157" s="129"/>
      <c r="F157" s="129"/>
      <c r="G157" s="129"/>
      <c r="H157" s="129"/>
    </row>
    <row r="158" spans="1:8" ht="18" customHeight="1" x14ac:dyDescent="0.3">
      <c r="A158" s="163" t="s">
        <v>161</v>
      </c>
      <c r="B158" s="161"/>
      <c r="C158" s="161"/>
      <c r="D158" s="161"/>
      <c r="E158" s="161"/>
      <c r="F158" s="161"/>
      <c r="G158" s="161"/>
      <c r="H158" s="162"/>
    </row>
    <row r="159" spans="1:8" ht="15.75" customHeight="1" x14ac:dyDescent="0.25">
      <c r="A159" s="133" t="s">
        <v>71</v>
      </c>
      <c r="B159" s="132">
        <v>0</v>
      </c>
      <c r="C159" s="132">
        <v>0.25</v>
      </c>
      <c r="D159" s="132">
        <v>0.5</v>
      </c>
      <c r="E159" s="132">
        <v>0.75</v>
      </c>
      <c r="F159" s="132">
        <v>1</v>
      </c>
      <c r="G159" s="132" t="s">
        <v>19</v>
      </c>
      <c r="H159" s="130" t="s">
        <v>29</v>
      </c>
    </row>
    <row r="160" spans="1:8" ht="28.5" customHeight="1" x14ac:dyDescent="0.25">
      <c r="A160" s="128" t="s">
        <v>162</v>
      </c>
      <c r="B160" s="129"/>
      <c r="C160" s="129"/>
      <c r="D160" s="129"/>
      <c r="E160" s="129"/>
      <c r="F160" s="129"/>
      <c r="G160" s="129"/>
      <c r="H160" s="129"/>
    </row>
    <row r="161" spans="1:8" ht="28.5" customHeight="1" x14ac:dyDescent="0.25">
      <c r="A161" s="128" t="s">
        <v>163</v>
      </c>
      <c r="B161" s="129"/>
      <c r="C161" s="129"/>
      <c r="D161" s="129"/>
      <c r="E161" s="129"/>
      <c r="F161" s="129"/>
      <c r="G161" s="129"/>
      <c r="H161" s="129"/>
    </row>
    <row r="162" spans="1:8" x14ac:dyDescent="0.25">
      <c r="A162" s="128" t="s">
        <v>164</v>
      </c>
      <c r="B162" s="129"/>
      <c r="C162" s="129"/>
      <c r="D162" s="129"/>
      <c r="E162" s="129"/>
      <c r="F162" s="129"/>
      <c r="G162" s="129"/>
      <c r="H162" s="129"/>
    </row>
    <row r="163" spans="1:8" x14ac:dyDescent="0.25">
      <c r="A163" s="128" t="s">
        <v>165</v>
      </c>
      <c r="B163" s="129"/>
      <c r="C163" s="129"/>
      <c r="D163" s="129"/>
      <c r="E163" s="129"/>
      <c r="F163" s="129"/>
      <c r="G163" s="129"/>
      <c r="H163" s="129"/>
    </row>
    <row r="164" spans="1:8" ht="28.5" customHeight="1" x14ac:dyDescent="0.25">
      <c r="A164" s="128" t="s">
        <v>166</v>
      </c>
      <c r="B164" s="129"/>
      <c r="C164" s="129"/>
      <c r="D164" s="129"/>
      <c r="E164" s="129"/>
      <c r="F164" s="129"/>
      <c r="G164" s="129"/>
      <c r="H164" s="129"/>
    </row>
    <row r="165" spans="1:8" ht="18" customHeight="1" x14ac:dyDescent="0.3">
      <c r="A165" s="163" t="s">
        <v>167</v>
      </c>
      <c r="B165" s="161"/>
      <c r="C165" s="161"/>
      <c r="D165" s="161"/>
      <c r="E165" s="161"/>
      <c r="F165" s="161"/>
      <c r="G165" s="161"/>
      <c r="H165" s="162"/>
    </row>
    <row r="166" spans="1:8" ht="18" customHeight="1" x14ac:dyDescent="0.3">
      <c r="A166" s="163" t="s">
        <v>168</v>
      </c>
      <c r="B166" s="161"/>
      <c r="C166" s="161"/>
      <c r="D166" s="161"/>
      <c r="E166" s="161"/>
      <c r="F166" s="161"/>
      <c r="G166" s="161"/>
      <c r="H166" s="162"/>
    </row>
    <row r="167" spans="1:8" ht="15.75" customHeight="1" x14ac:dyDescent="0.25">
      <c r="A167" s="133" t="s">
        <v>53</v>
      </c>
      <c r="B167" s="132">
        <v>0</v>
      </c>
      <c r="C167" s="132">
        <v>0.25</v>
      </c>
      <c r="D167" s="132">
        <v>0.5</v>
      </c>
      <c r="E167" s="132">
        <v>0.75</v>
      </c>
      <c r="F167" s="132">
        <v>1</v>
      </c>
      <c r="G167" s="132" t="s">
        <v>19</v>
      </c>
      <c r="H167" s="130" t="s">
        <v>29</v>
      </c>
    </row>
    <row r="168" spans="1:8" ht="28.5" customHeight="1" x14ac:dyDescent="0.25">
      <c r="A168" s="128" t="s">
        <v>169</v>
      </c>
      <c r="B168" s="129"/>
      <c r="C168" s="129"/>
      <c r="D168" s="129"/>
      <c r="E168" s="129"/>
      <c r="F168" s="129"/>
      <c r="G168" s="129"/>
      <c r="H168" s="129"/>
    </row>
    <row r="169" spans="1:8" ht="18" customHeight="1" x14ac:dyDescent="0.3">
      <c r="A169" s="163" t="s">
        <v>170</v>
      </c>
      <c r="B169" s="161"/>
      <c r="C169" s="161"/>
      <c r="D169" s="161"/>
      <c r="E169" s="161"/>
      <c r="F169" s="161"/>
      <c r="G169" s="161"/>
      <c r="H169" s="162"/>
    </row>
    <row r="170" spans="1:8" ht="15.75" customHeight="1" x14ac:dyDescent="0.25">
      <c r="A170" s="133" t="s">
        <v>171</v>
      </c>
      <c r="B170" s="132">
        <v>0</v>
      </c>
      <c r="C170" s="132">
        <v>0.25</v>
      </c>
      <c r="D170" s="132">
        <v>0.5</v>
      </c>
      <c r="E170" s="132">
        <v>0.75</v>
      </c>
      <c r="F170" s="132">
        <v>1</v>
      </c>
      <c r="G170" s="132" t="s">
        <v>19</v>
      </c>
      <c r="H170" s="130" t="s">
        <v>29</v>
      </c>
    </row>
    <row r="171" spans="1:8" ht="28.5" customHeight="1" x14ac:dyDescent="0.25">
      <c r="A171" s="128" t="s">
        <v>172</v>
      </c>
      <c r="B171" s="129"/>
      <c r="C171" s="129"/>
      <c r="D171" s="129"/>
      <c r="E171" s="129"/>
      <c r="F171" s="129"/>
      <c r="G171" s="129"/>
      <c r="H171" s="129"/>
    </row>
    <row r="172" spans="1:8" x14ac:dyDescent="0.25">
      <c r="A172" s="128" t="s">
        <v>173</v>
      </c>
      <c r="B172" s="129"/>
      <c r="C172" s="129"/>
      <c r="D172" s="129"/>
      <c r="E172" s="129"/>
      <c r="F172" s="129"/>
      <c r="G172" s="129"/>
      <c r="H172" s="129"/>
    </row>
    <row r="173" spans="1:8" ht="28.5" customHeight="1" x14ac:dyDescent="0.25">
      <c r="A173" s="128" t="s">
        <v>174</v>
      </c>
      <c r="B173" s="129"/>
      <c r="C173" s="129"/>
      <c r="D173" s="129"/>
      <c r="E173" s="129"/>
      <c r="F173" s="129"/>
      <c r="G173" s="129"/>
      <c r="H173" s="129"/>
    </row>
    <row r="174" spans="1:8" ht="28.5" customHeight="1" x14ac:dyDescent="0.25">
      <c r="A174" s="128" t="s">
        <v>175</v>
      </c>
      <c r="B174" s="129"/>
      <c r="C174" s="129"/>
      <c r="D174" s="129"/>
      <c r="E174" s="129"/>
      <c r="F174" s="129"/>
      <c r="G174" s="129"/>
      <c r="H174" s="129"/>
    </row>
    <row r="175" spans="1:8" ht="18" customHeight="1" x14ac:dyDescent="0.3">
      <c r="A175" s="163" t="s">
        <v>176</v>
      </c>
      <c r="B175" s="161"/>
      <c r="C175" s="161"/>
      <c r="D175" s="161"/>
      <c r="E175" s="161"/>
      <c r="F175" s="161"/>
      <c r="G175" s="161"/>
      <c r="H175" s="162"/>
    </row>
    <row r="176" spans="1:8" ht="15.75" customHeight="1" x14ac:dyDescent="0.25">
      <c r="A176" s="133" t="s">
        <v>177</v>
      </c>
      <c r="B176" s="132">
        <v>0</v>
      </c>
      <c r="C176" s="132">
        <v>0.25</v>
      </c>
      <c r="D176" s="132">
        <v>0.5</v>
      </c>
      <c r="E176" s="132">
        <v>0.75</v>
      </c>
      <c r="F176" s="132">
        <v>1</v>
      </c>
      <c r="G176" s="132" t="s">
        <v>19</v>
      </c>
      <c r="H176" s="130" t="s">
        <v>29</v>
      </c>
    </row>
    <row r="177" spans="1:8" ht="28.5" customHeight="1" x14ac:dyDescent="0.25">
      <c r="A177" s="128" t="s">
        <v>178</v>
      </c>
      <c r="B177" s="129"/>
      <c r="C177" s="129"/>
      <c r="D177" s="129"/>
      <c r="E177" s="129"/>
      <c r="F177" s="129"/>
      <c r="G177" s="129"/>
      <c r="H177" s="129"/>
    </row>
    <row r="178" spans="1:8" ht="28.5" customHeight="1" x14ac:dyDescent="0.25">
      <c r="A178" s="128" t="s">
        <v>179</v>
      </c>
      <c r="B178" s="129"/>
      <c r="C178" s="129"/>
      <c r="D178" s="129"/>
      <c r="E178" s="129"/>
      <c r="F178" s="129"/>
      <c r="G178" s="129"/>
      <c r="H178" s="129"/>
    </row>
    <row r="179" spans="1:8" ht="28.5" customHeight="1" x14ac:dyDescent="0.25">
      <c r="A179" s="128" t="s">
        <v>180</v>
      </c>
      <c r="B179" s="129"/>
      <c r="C179" s="129"/>
      <c r="D179" s="129"/>
      <c r="E179" s="129"/>
      <c r="F179" s="129"/>
      <c r="G179" s="129"/>
      <c r="H179" s="129"/>
    </row>
    <row r="180" spans="1:8" x14ac:dyDescent="0.25">
      <c r="A180" s="128" t="s">
        <v>181</v>
      </c>
      <c r="B180" s="129"/>
      <c r="C180" s="129"/>
      <c r="D180" s="129"/>
      <c r="E180" s="129"/>
      <c r="F180" s="129"/>
      <c r="G180" s="129"/>
      <c r="H180" s="129"/>
    </row>
    <row r="181" spans="1:8" ht="21" customHeight="1" x14ac:dyDescent="0.3">
      <c r="A181" s="160" t="s">
        <v>182</v>
      </c>
      <c r="B181" s="161"/>
      <c r="C181" s="161"/>
      <c r="D181" s="161"/>
      <c r="E181" s="161"/>
      <c r="F181" s="161"/>
      <c r="G181" s="161"/>
      <c r="H181" s="162"/>
    </row>
    <row r="182" spans="1:8" ht="18" customHeight="1" x14ac:dyDescent="0.3">
      <c r="A182" s="163" t="s">
        <v>183</v>
      </c>
      <c r="B182" s="161"/>
      <c r="C182" s="161"/>
      <c r="D182" s="161"/>
      <c r="E182" s="161"/>
      <c r="F182" s="161"/>
      <c r="G182" s="161"/>
      <c r="H182" s="162"/>
    </row>
    <row r="183" spans="1:8" ht="15.75" customHeight="1" x14ac:dyDescent="0.25">
      <c r="A183" s="133" t="s">
        <v>71</v>
      </c>
      <c r="B183" s="132">
        <v>0</v>
      </c>
      <c r="C183" s="132">
        <v>0.25</v>
      </c>
      <c r="D183" s="132">
        <v>0.5</v>
      </c>
      <c r="E183" s="132">
        <v>0.75</v>
      </c>
      <c r="F183" s="132">
        <v>1</v>
      </c>
      <c r="G183" s="132" t="s">
        <v>19</v>
      </c>
      <c r="H183" s="130" t="s">
        <v>29</v>
      </c>
    </row>
    <row r="184" spans="1:8" ht="28.5" customHeight="1" x14ac:dyDescent="0.25">
      <c r="A184" s="127" t="s">
        <v>184</v>
      </c>
      <c r="B184" s="129"/>
      <c r="C184" s="129"/>
      <c r="D184" s="129"/>
      <c r="E184" s="129"/>
      <c r="F184" s="129"/>
      <c r="G184" s="129"/>
      <c r="H184" s="129"/>
    </row>
    <row r="185" spans="1:8" ht="28.5" customHeight="1" x14ac:dyDescent="0.25">
      <c r="A185" s="127" t="s">
        <v>185</v>
      </c>
      <c r="B185" s="129"/>
      <c r="C185" s="129"/>
      <c r="D185" s="129"/>
      <c r="E185" s="129"/>
      <c r="F185" s="129"/>
      <c r="G185" s="129"/>
      <c r="H185" s="129"/>
    </row>
    <row r="186" spans="1:8" ht="18" customHeight="1" x14ac:dyDescent="0.3">
      <c r="A186" s="163" t="s">
        <v>186</v>
      </c>
      <c r="B186" s="161"/>
      <c r="C186" s="161"/>
      <c r="D186" s="161"/>
      <c r="E186" s="161"/>
      <c r="F186" s="161"/>
      <c r="G186" s="161"/>
      <c r="H186" s="162"/>
    </row>
    <row r="187" spans="1:8" ht="15.75" customHeight="1" x14ac:dyDescent="0.25">
      <c r="A187" s="133" t="s">
        <v>187</v>
      </c>
      <c r="B187" s="132">
        <v>0</v>
      </c>
      <c r="C187" s="132">
        <v>0.25</v>
      </c>
      <c r="D187" s="132">
        <v>0.5</v>
      </c>
      <c r="E187" s="132">
        <v>0.75</v>
      </c>
      <c r="F187" s="132">
        <v>1</v>
      </c>
      <c r="G187" s="132" t="s">
        <v>19</v>
      </c>
      <c r="H187" s="130" t="s">
        <v>29</v>
      </c>
    </row>
    <row r="188" spans="1:8" x14ac:dyDescent="0.25">
      <c r="A188" s="128" t="s">
        <v>188</v>
      </c>
      <c r="B188" s="129"/>
      <c r="C188" s="129"/>
      <c r="D188" s="129"/>
      <c r="E188" s="129"/>
      <c r="F188" s="129"/>
      <c r="G188" s="129"/>
      <c r="H188" s="129"/>
    </row>
    <row r="189" spans="1:8" ht="28.5" customHeight="1" x14ac:dyDescent="0.25">
      <c r="A189" s="128" t="s">
        <v>189</v>
      </c>
      <c r="B189" s="129"/>
      <c r="C189" s="129"/>
      <c r="D189" s="129"/>
      <c r="E189" s="129"/>
      <c r="F189" s="129"/>
      <c r="G189" s="129"/>
      <c r="H189" s="129"/>
    </row>
    <row r="190" spans="1:8" ht="28.5" customHeight="1" x14ac:dyDescent="0.25">
      <c r="A190" s="128" t="s">
        <v>190</v>
      </c>
      <c r="B190" s="129"/>
      <c r="C190" s="129"/>
      <c r="D190" s="129"/>
      <c r="E190" s="129"/>
      <c r="F190" s="129"/>
      <c r="G190" s="129"/>
      <c r="H190" s="129"/>
    </row>
    <row r="191" spans="1:8" ht="28.5" customHeight="1" x14ac:dyDescent="0.25">
      <c r="A191" s="128" t="s">
        <v>191</v>
      </c>
      <c r="B191" s="129"/>
      <c r="C191" s="129"/>
      <c r="D191" s="129"/>
      <c r="E191" s="129"/>
      <c r="F191" s="129"/>
      <c r="G191" s="129"/>
      <c r="H191" s="129"/>
    </row>
    <row r="192" spans="1:8" ht="28.5" customHeight="1" x14ac:dyDescent="0.25">
      <c r="A192" s="128" t="s">
        <v>192</v>
      </c>
      <c r="B192" s="129"/>
      <c r="C192" s="129"/>
      <c r="D192" s="129"/>
      <c r="E192" s="129"/>
      <c r="F192" s="129"/>
      <c r="G192" s="129"/>
      <c r="H192" s="129"/>
    </row>
    <row r="193" spans="1:8" ht="28.5" customHeight="1" x14ac:dyDescent="0.25">
      <c r="A193" s="128" t="s">
        <v>193</v>
      </c>
      <c r="B193" s="129"/>
      <c r="C193" s="129"/>
      <c r="D193" s="129"/>
      <c r="E193" s="129"/>
      <c r="F193" s="129"/>
      <c r="G193" s="129"/>
      <c r="H193" s="129"/>
    </row>
    <row r="196" spans="1:8" ht="15.6" x14ac:dyDescent="0.3">
      <c r="D196"/>
    </row>
    <row r="197" spans="1:8" ht="15.6" x14ac:dyDescent="0.3">
      <c r="C197"/>
    </row>
    <row r="198" spans="1:8" ht="15.6" x14ac:dyDescent="0.3">
      <c r="E198"/>
    </row>
    <row r="199" spans="1:8" ht="15.6" x14ac:dyDescent="0.3">
      <c r="E199"/>
    </row>
    <row r="200" spans="1:8" ht="15.6" x14ac:dyDescent="0.3">
      <c r="E200"/>
    </row>
    <row r="201" spans="1:8" ht="15.6" x14ac:dyDescent="0.3">
      <c r="E201"/>
    </row>
    <row r="204" spans="1:8" ht="15.6" x14ac:dyDescent="0.3">
      <c r="D204"/>
    </row>
    <row r="205" spans="1:8" ht="15.6" x14ac:dyDescent="0.3">
      <c r="E205"/>
    </row>
    <row r="206" spans="1:8" ht="15.6" x14ac:dyDescent="0.3">
      <c r="F206"/>
    </row>
    <row r="207" spans="1:8" ht="15.6" x14ac:dyDescent="0.3">
      <c r="D207"/>
    </row>
    <row r="208" spans="1:8" ht="15.6" x14ac:dyDescent="0.3">
      <c r="D208"/>
    </row>
    <row r="209" spans="4:6" ht="15.6" x14ac:dyDescent="0.3">
      <c r="E209"/>
    </row>
    <row r="210" spans="4:6" ht="15.6" x14ac:dyDescent="0.3">
      <c r="E210"/>
    </row>
    <row r="211" spans="4:6" ht="15.6" x14ac:dyDescent="0.3">
      <c r="D211"/>
    </row>
    <row r="212" spans="4:6" ht="15.6" x14ac:dyDescent="0.3">
      <c r="F212"/>
    </row>
    <row r="213" spans="4:6" ht="15.6" x14ac:dyDescent="0.3">
      <c r="F213"/>
    </row>
    <row r="214" spans="4:6" ht="15.6" x14ac:dyDescent="0.3">
      <c r="F214"/>
    </row>
    <row r="215" spans="4:6" ht="15.6" x14ac:dyDescent="0.3">
      <c r="E215"/>
    </row>
    <row r="216" spans="4:6" ht="15.6" x14ac:dyDescent="0.3">
      <c r="F216"/>
    </row>
    <row r="217" spans="4:6" ht="15.6" x14ac:dyDescent="0.3">
      <c r="D217"/>
    </row>
    <row r="219" spans="4:6" ht="15.6" x14ac:dyDescent="0.3">
      <c r="D219"/>
    </row>
    <row r="220" spans="4:6" ht="15.6" x14ac:dyDescent="0.3">
      <c r="E220"/>
    </row>
    <row r="221" spans="4:6" ht="15.6" x14ac:dyDescent="0.3">
      <c r="E221"/>
    </row>
    <row r="222" spans="4:6" ht="15.6" x14ac:dyDescent="0.3">
      <c r="E222"/>
    </row>
    <row r="223" spans="4:6" ht="15.6" x14ac:dyDescent="0.3">
      <c r="E223"/>
    </row>
    <row r="224" spans="4:6" ht="15.6" x14ac:dyDescent="0.3">
      <c r="E224"/>
    </row>
    <row r="225" spans="4:6" ht="15.6" x14ac:dyDescent="0.3">
      <c r="F225"/>
    </row>
    <row r="228" spans="4:6" ht="15.6" x14ac:dyDescent="0.3">
      <c r="E228"/>
    </row>
    <row r="231" spans="4:6" ht="15.6" x14ac:dyDescent="0.3">
      <c r="E231"/>
    </row>
    <row r="232" spans="4:6" ht="15.6" x14ac:dyDescent="0.3">
      <c r="D232"/>
    </row>
    <row r="233" spans="4:6" ht="15.6" x14ac:dyDescent="0.3">
      <c r="D233"/>
    </row>
    <row r="234" spans="4:6" ht="15.6" x14ac:dyDescent="0.3">
      <c r="E234"/>
    </row>
    <row r="235" spans="4:6" ht="15.6" x14ac:dyDescent="0.3">
      <c r="F235"/>
    </row>
    <row r="236" spans="4:6" ht="15.6" x14ac:dyDescent="0.3">
      <c r="F236"/>
    </row>
    <row r="237" spans="4:6" ht="15.6" x14ac:dyDescent="0.3">
      <c r="D237"/>
    </row>
    <row r="238" spans="4:6" ht="15.6" x14ac:dyDescent="0.3">
      <c r="F238"/>
    </row>
    <row r="239" spans="4:6" ht="15.6" x14ac:dyDescent="0.3">
      <c r="D239"/>
    </row>
    <row r="240" spans="4:6" ht="15.6" x14ac:dyDescent="0.3">
      <c r="F240"/>
    </row>
    <row r="241" spans="5:6" ht="15.6" x14ac:dyDescent="0.3">
      <c r="E241"/>
    </row>
    <row r="242" spans="5:6" ht="15.6" x14ac:dyDescent="0.3">
      <c r="E242"/>
    </row>
    <row r="244" spans="5:6" ht="15.6" x14ac:dyDescent="0.3">
      <c r="F244"/>
    </row>
  </sheetData>
  <mergeCells count="38">
    <mergeCell ref="A138:H138"/>
    <mergeCell ref="A103:H103"/>
    <mergeCell ref="A13:H13"/>
    <mergeCell ref="A19:H19"/>
    <mergeCell ref="A58:H58"/>
    <mergeCell ref="A88:H88"/>
    <mergeCell ref="A186:H186"/>
    <mergeCell ref="A53:H53"/>
    <mergeCell ref="A148:H148"/>
    <mergeCell ref="A165:H165"/>
    <mergeCell ref="A158:H158"/>
    <mergeCell ref="A121:H121"/>
    <mergeCell ref="A182:H182"/>
    <mergeCell ref="A154:H154"/>
    <mergeCell ref="A166:H166"/>
    <mergeCell ref="A175:H175"/>
    <mergeCell ref="A122:H122"/>
    <mergeCell ref="A140:H140"/>
    <mergeCell ref="A169:H169"/>
    <mergeCell ref="A131:H131"/>
    <mergeCell ref="A89:H89"/>
    <mergeCell ref="A83:H83"/>
    <mergeCell ref="A181:H181"/>
    <mergeCell ref="A112:H112"/>
    <mergeCell ref="A153:H153"/>
    <mergeCell ref="A39:H39"/>
    <mergeCell ref="A1:H1"/>
    <mergeCell ref="A45:H45"/>
    <mergeCell ref="A98:H98"/>
    <mergeCell ref="A139:H139"/>
    <mergeCell ref="A8:H11"/>
    <mergeCell ref="A12:H12"/>
    <mergeCell ref="A26:H26"/>
    <mergeCell ref="A57:H57"/>
    <mergeCell ref="A92:H92"/>
    <mergeCell ref="A76:H76"/>
    <mergeCell ref="A33:H33"/>
    <mergeCell ref="A38:H38"/>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8"/>
  <sheetViews>
    <sheetView zoomScale="80" zoomScaleNormal="80" workbookViewId="0">
      <selection activeCell="A43" sqref="A43"/>
    </sheetView>
  </sheetViews>
  <sheetFormatPr defaultColWidth="11.44140625" defaultRowHeight="14.4" x14ac:dyDescent="0.3"/>
  <cols>
    <col min="1" max="1" width="4.5546875" style="141" customWidth="1"/>
    <col min="2" max="2" width="10" style="141" bestFit="1" customWidth="1"/>
    <col min="3" max="8" width="9.5546875" style="141" customWidth="1"/>
    <col min="9" max="9" width="11.44140625" style="141" customWidth="1"/>
    <col min="10" max="10" width="6" style="141" customWidth="1"/>
    <col min="11" max="11" width="8.109375" style="141" customWidth="1"/>
    <col min="12" max="12" width="48.109375" style="141" customWidth="1"/>
    <col min="13" max="13" width="25.44140625" style="141" customWidth="1"/>
    <col min="14" max="14" width="13.88671875" style="141" customWidth="1"/>
    <col min="15" max="15" width="15.88671875" style="141" customWidth="1"/>
    <col min="16" max="16" width="5.44140625" style="141" bestFit="1" customWidth="1"/>
    <col min="17" max="17" width="6.33203125" style="141" customWidth="1"/>
    <col min="18" max="28" width="11.44140625" style="141" customWidth="1"/>
    <col min="29" max="29" width="17.109375" style="141" customWidth="1"/>
    <col min="30" max="257" width="11.44140625" style="141" customWidth="1"/>
    <col min="258" max="258" width="4.5546875" style="141" customWidth="1"/>
    <col min="259" max="259" width="10" style="141" bestFit="1" customWidth="1"/>
    <col min="260" max="265" width="9.5546875" style="141" customWidth="1"/>
    <col min="266" max="267" width="11.44140625" style="141" customWidth="1"/>
    <col min="268" max="268" width="54.88671875" style="141" customWidth="1"/>
    <col min="269" max="269" width="20.33203125" style="141" customWidth="1"/>
    <col min="270" max="270" width="13.88671875" style="141" customWidth="1"/>
    <col min="271" max="271" width="15.88671875" style="141" customWidth="1"/>
    <col min="272" max="272" width="5.44140625" style="141" bestFit="1" customWidth="1"/>
    <col min="273" max="273" width="6.33203125" style="141" customWidth="1"/>
    <col min="274" max="513" width="11.44140625" style="141" customWidth="1"/>
    <col min="514" max="514" width="4.5546875" style="141" customWidth="1"/>
    <col min="515" max="515" width="10" style="141" bestFit="1" customWidth="1"/>
    <col min="516" max="521" width="9.5546875" style="141" customWidth="1"/>
    <col min="522" max="523" width="11.44140625" style="141" customWidth="1"/>
    <col min="524" max="524" width="54.88671875" style="141" customWidth="1"/>
    <col min="525" max="525" width="20.33203125" style="141" customWidth="1"/>
    <col min="526" max="526" width="13.88671875" style="141" customWidth="1"/>
    <col min="527" max="527" width="15.88671875" style="141" customWidth="1"/>
    <col min="528" max="528" width="5.44140625" style="141" bestFit="1" customWidth="1"/>
    <col min="529" max="529" width="6.33203125" style="141" customWidth="1"/>
    <col min="530" max="769" width="11.44140625" style="141" customWidth="1"/>
    <col min="770" max="770" width="4.5546875" style="141" customWidth="1"/>
    <col min="771" max="771" width="10" style="141" bestFit="1" customWidth="1"/>
    <col min="772" max="777" width="9.5546875" style="141" customWidth="1"/>
    <col min="778" max="779" width="11.44140625" style="141" customWidth="1"/>
    <col min="780" max="780" width="54.88671875" style="141" customWidth="1"/>
    <col min="781" max="781" width="20.33203125" style="141" customWidth="1"/>
    <col min="782" max="782" width="13.88671875" style="141" customWidth="1"/>
    <col min="783" max="783" width="15.88671875" style="141" customWidth="1"/>
    <col min="784" max="784" width="5.44140625" style="141" bestFit="1" customWidth="1"/>
    <col min="785" max="785" width="6.33203125" style="141" customWidth="1"/>
    <col min="786" max="1025" width="11.44140625" style="141" customWidth="1"/>
    <col min="1026" max="1026" width="4.5546875" style="141" customWidth="1"/>
    <col min="1027" max="1027" width="10" style="141" bestFit="1" customWidth="1"/>
    <col min="1028" max="1033" width="9.5546875" style="141" customWidth="1"/>
    <col min="1034" max="1035" width="11.44140625" style="141" customWidth="1"/>
    <col min="1036" max="1036" width="54.88671875" style="141" customWidth="1"/>
    <col min="1037" max="1037" width="20.33203125" style="141" customWidth="1"/>
    <col min="1038" max="1038" width="13.88671875" style="141" customWidth="1"/>
    <col min="1039" max="1039" width="15.88671875" style="141" customWidth="1"/>
    <col min="1040" max="1040" width="5.44140625" style="141" bestFit="1" customWidth="1"/>
    <col min="1041" max="1041" width="6.33203125" style="141" customWidth="1"/>
    <col min="1042" max="1281" width="11.44140625" style="141" customWidth="1"/>
    <col min="1282" max="1282" width="4.5546875" style="141" customWidth="1"/>
    <col min="1283" max="1283" width="10" style="141" bestFit="1" customWidth="1"/>
    <col min="1284" max="1289" width="9.5546875" style="141" customWidth="1"/>
    <col min="1290" max="1291" width="11.44140625" style="141" customWidth="1"/>
    <col min="1292" max="1292" width="54.88671875" style="141" customWidth="1"/>
    <col min="1293" max="1293" width="20.33203125" style="141" customWidth="1"/>
    <col min="1294" max="1294" width="13.88671875" style="141" customWidth="1"/>
    <col min="1295" max="1295" width="15.88671875" style="141" customWidth="1"/>
    <col min="1296" max="1296" width="5.44140625" style="141" bestFit="1" customWidth="1"/>
    <col min="1297" max="1297" width="6.33203125" style="141" customWidth="1"/>
    <col min="1298" max="1537" width="11.44140625" style="141" customWidth="1"/>
    <col min="1538" max="1538" width="4.5546875" style="141" customWidth="1"/>
    <col min="1539" max="1539" width="10" style="141" bestFit="1" customWidth="1"/>
    <col min="1540" max="1545" width="9.5546875" style="141" customWidth="1"/>
    <col min="1546" max="1547" width="11.44140625" style="141" customWidth="1"/>
    <col min="1548" max="1548" width="54.88671875" style="141" customWidth="1"/>
    <col min="1549" max="1549" width="20.33203125" style="141" customWidth="1"/>
    <col min="1550" max="1550" width="13.88671875" style="141" customWidth="1"/>
    <col min="1551" max="1551" width="15.88671875" style="141" customWidth="1"/>
    <col min="1552" max="1552" width="5.44140625" style="141" bestFit="1" customWidth="1"/>
    <col min="1553" max="1553" width="6.33203125" style="141" customWidth="1"/>
    <col min="1554" max="1793" width="11.44140625" style="141" customWidth="1"/>
    <col min="1794" max="1794" width="4.5546875" style="141" customWidth="1"/>
    <col min="1795" max="1795" width="10" style="141" bestFit="1" customWidth="1"/>
    <col min="1796" max="1801" width="9.5546875" style="141" customWidth="1"/>
    <col min="1802" max="1803" width="11.44140625" style="141" customWidth="1"/>
    <col min="1804" max="1804" width="54.88671875" style="141" customWidth="1"/>
    <col min="1805" max="1805" width="20.33203125" style="141" customWidth="1"/>
    <col min="1806" max="1806" width="13.88671875" style="141" customWidth="1"/>
    <col min="1807" max="1807" width="15.88671875" style="141" customWidth="1"/>
    <col min="1808" max="1808" width="5.44140625" style="141" bestFit="1" customWidth="1"/>
    <col min="1809" max="1809" width="6.33203125" style="141" customWidth="1"/>
    <col min="1810" max="2049" width="11.44140625" style="141" customWidth="1"/>
    <col min="2050" max="2050" width="4.5546875" style="141" customWidth="1"/>
    <col min="2051" max="2051" width="10" style="141" bestFit="1" customWidth="1"/>
    <col min="2052" max="2057" width="9.5546875" style="141" customWidth="1"/>
    <col min="2058" max="2059" width="11.44140625" style="141" customWidth="1"/>
    <col min="2060" max="2060" width="54.88671875" style="141" customWidth="1"/>
    <col min="2061" max="2061" width="20.33203125" style="141" customWidth="1"/>
    <col min="2062" max="2062" width="13.88671875" style="141" customWidth="1"/>
    <col min="2063" max="2063" width="15.88671875" style="141" customWidth="1"/>
    <col min="2064" max="2064" width="5.44140625" style="141" bestFit="1" customWidth="1"/>
    <col min="2065" max="2065" width="6.33203125" style="141" customWidth="1"/>
    <col min="2066" max="2305" width="11.44140625" style="141" customWidth="1"/>
    <col min="2306" max="2306" width="4.5546875" style="141" customWidth="1"/>
    <col min="2307" max="2307" width="10" style="141" bestFit="1" customWidth="1"/>
    <col min="2308" max="2313" width="9.5546875" style="141" customWidth="1"/>
    <col min="2314" max="2315" width="11.44140625" style="141" customWidth="1"/>
    <col min="2316" max="2316" width="54.88671875" style="141" customWidth="1"/>
    <col min="2317" max="2317" width="20.33203125" style="141" customWidth="1"/>
    <col min="2318" max="2318" width="13.88671875" style="141" customWidth="1"/>
    <col min="2319" max="2319" width="15.88671875" style="141" customWidth="1"/>
    <col min="2320" max="2320" width="5.44140625" style="141" bestFit="1" customWidth="1"/>
    <col min="2321" max="2321" width="6.33203125" style="141" customWidth="1"/>
    <col min="2322" max="2561" width="11.44140625" style="141" customWidth="1"/>
    <col min="2562" max="2562" width="4.5546875" style="141" customWidth="1"/>
    <col min="2563" max="2563" width="10" style="141" bestFit="1" customWidth="1"/>
    <col min="2564" max="2569" width="9.5546875" style="141" customWidth="1"/>
    <col min="2570" max="2571" width="11.44140625" style="141" customWidth="1"/>
    <col min="2572" max="2572" width="54.88671875" style="141" customWidth="1"/>
    <col min="2573" max="2573" width="20.33203125" style="141" customWidth="1"/>
    <col min="2574" max="2574" width="13.88671875" style="141" customWidth="1"/>
    <col min="2575" max="2575" width="15.88671875" style="141" customWidth="1"/>
    <col min="2576" max="2576" width="5.44140625" style="141" bestFit="1" customWidth="1"/>
    <col min="2577" max="2577" width="6.33203125" style="141" customWidth="1"/>
    <col min="2578" max="2817" width="11.44140625" style="141" customWidth="1"/>
    <col min="2818" max="2818" width="4.5546875" style="141" customWidth="1"/>
    <col min="2819" max="2819" width="10" style="141" bestFit="1" customWidth="1"/>
    <col min="2820" max="2825" width="9.5546875" style="141" customWidth="1"/>
    <col min="2826" max="2827" width="11.44140625" style="141" customWidth="1"/>
    <col min="2828" max="2828" width="54.88671875" style="141" customWidth="1"/>
    <col min="2829" max="2829" width="20.33203125" style="141" customWidth="1"/>
    <col min="2830" max="2830" width="13.88671875" style="141" customWidth="1"/>
    <col min="2831" max="2831" width="15.88671875" style="141" customWidth="1"/>
    <col min="2832" max="2832" width="5.44140625" style="141" bestFit="1" customWidth="1"/>
    <col min="2833" max="2833" width="6.33203125" style="141" customWidth="1"/>
    <col min="2834" max="3073" width="11.44140625" style="141" customWidth="1"/>
    <col min="3074" max="3074" width="4.5546875" style="141" customWidth="1"/>
    <col min="3075" max="3075" width="10" style="141" bestFit="1" customWidth="1"/>
    <col min="3076" max="3081" width="9.5546875" style="141" customWidth="1"/>
    <col min="3082" max="3083" width="11.44140625" style="141" customWidth="1"/>
    <col min="3084" max="3084" width="54.88671875" style="141" customWidth="1"/>
    <col min="3085" max="3085" width="20.33203125" style="141" customWidth="1"/>
    <col min="3086" max="3086" width="13.88671875" style="141" customWidth="1"/>
    <col min="3087" max="3087" width="15.88671875" style="141" customWidth="1"/>
    <col min="3088" max="3088" width="5.44140625" style="141" bestFit="1" customWidth="1"/>
    <col min="3089" max="3089" width="6.33203125" style="141" customWidth="1"/>
    <col min="3090" max="3329" width="11.44140625" style="141" customWidth="1"/>
    <col min="3330" max="3330" width="4.5546875" style="141" customWidth="1"/>
    <col min="3331" max="3331" width="10" style="141" bestFit="1" customWidth="1"/>
    <col min="3332" max="3337" width="9.5546875" style="141" customWidth="1"/>
    <col min="3338" max="3339" width="11.44140625" style="141" customWidth="1"/>
    <col min="3340" max="3340" width="54.88671875" style="141" customWidth="1"/>
    <col min="3341" max="3341" width="20.33203125" style="141" customWidth="1"/>
    <col min="3342" max="3342" width="13.88671875" style="141" customWidth="1"/>
    <col min="3343" max="3343" width="15.88671875" style="141" customWidth="1"/>
    <col min="3344" max="3344" width="5.44140625" style="141" bestFit="1" customWidth="1"/>
    <col min="3345" max="3345" width="6.33203125" style="141" customWidth="1"/>
    <col min="3346" max="3585" width="11.44140625" style="141" customWidth="1"/>
    <col min="3586" max="3586" width="4.5546875" style="141" customWidth="1"/>
    <col min="3587" max="3587" width="10" style="141" bestFit="1" customWidth="1"/>
    <col min="3588" max="3593" width="9.5546875" style="141" customWidth="1"/>
    <col min="3594" max="3595" width="11.44140625" style="141" customWidth="1"/>
    <col min="3596" max="3596" width="54.88671875" style="141" customWidth="1"/>
    <col min="3597" max="3597" width="20.33203125" style="141" customWidth="1"/>
    <col min="3598" max="3598" width="13.88671875" style="141" customWidth="1"/>
    <col min="3599" max="3599" width="15.88671875" style="141" customWidth="1"/>
    <col min="3600" max="3600" width="5.44140625" style="141" bestFit="1" customWidth="1"/>
    <col min="3601" max="3601" width="6.33203125" style="141" customWidth="1"/>
    <col min="3602" max="3841" width="11.44140625" style="141" customWidth="1"/>
    <col min="3842" max="3842" width="4.5546875" style="141" customWidth="1"/>
    <col min="3843" max="3843" width="10" style="141" bestFit="1" customWidth="1"/>
    <col min="3844" max="3849" width="9.5546875" style="141" customWidth="1"/>
    <col min="3850" max="3851" width="11.44140625" style="141" customWidth="1"/>
    <col min="3852" max="3852" width="54.88671875" style="141" customWidth="1"/>
    <col min="3853" max="3853" width="20.33203125" style="141" customWidth="1"/>
    <col min="3854" max="3854" width="13.88671875" style="141" customWidth="1"/>
    <col min="3855" max="3855" width="15.88671875" style="141" customWidth="1"/>
    <col min="3856" max="3856" width="5.44140625" style="141" bestFit="1" customWidth="1"/>
    <col min="3857" max="3857" width="6.33203125" style="141" customWidth="1"/>
    <col min="3858" max="4097" width="11.44140625" style="141" customWidth="1"/>
    <col min="4098" max="4098" width="4.5546875" style="141" customWidth="1"/>
    <col min="4099" max="4099" width="10" style="141" bestFit="1" customWidth="1"/>
    <col min="4100" max="4105" width="9.5546875" style="141" customWidth="1"/>
    <col min="4106" max="4107" width="11.44140625" style="141" customWidth="1"/>
    <col min="4108" max="4108" width="54.88671875" style="141" customWidth="1"/>
    <col min="4109" max="4109" width="20.33203125" style="141" customWidth="1"/>
    <col min="4110" max="4110" width="13.88671875" style="141" customWidth="1"/>
    <col min="4111" max="4111" width="15.88671875" style="141" customWidth="1"/>
    <col min="4112" max="4112" width="5.44140625" style="141" bestFit="1" customWidth="1"/>
    <col min="4113" max="4113" width="6.33203125" style="141" customWidth="1"/>
    <col min="4114" max="4353" width="11.44140625" style="141" customWidth="1"/>
    <col min="4354" max="4354" width="4.5546875" style="141" customWidth="1"/>
    <col min="4355" max="4355" width="10" style="141" bestFit="1" customWidth="1"/>
    <col min="4356" max="4361" width="9.5546875" style="141" customWidth="1"/>
    <col min="4362" max="4363" width="11.44140625" style="141" customWidth="1"/>
    <col min="4364" max="4364" width="54.88671875" style="141" customWidth="1"/>
    <col min="4365" max="4365" width="20.33203125" style="141" customWidth="1"/>
    <col min="4366" max="4366" width="13.88671875" style="141" customWidth="1"/>
    <col min="4367" max="4367" width="15.88671875" style="141" customWidth="1"/>
    <col min="4368" max="4368" width="5.44140625" style="141" bestFit="1" customWidth="1"/>
    <col min="4369" max="4369" width="6.33203125" style="141" customWidth="1"/>
    <col min="4370" max="4609" width="11.44140625" style="141" customWidth="1"/>
    <col min="4610" max="4610" width="4.5546875" style="141" customWidth="1"/>
    <col min="4611" max="4611" width="10" style="141" bestFit="1" customWidth="1"/>
    <col min="4612" max="4617" width="9.5546875" style="141" customWidth="1"/>
    <col min="4618" max="4619" width="11.44140625" style="141" customWidth="1"/>
    <col min="4620" max="4620" width="54.88671875" style="141" customWidth="1"/>
    <col min="4621" max="4621" width="20.33203125" style="141" customWidth="1"/>
    <col min="4622" max="4622" width="13.88671875" style="141" customWidth="1"/>
    <col min="4623" max="4623" width="15.88671875" style="141" customWidth="1"/>
    <col min="4624" max="4624" width="5.44140625" style="141" bestFit="1" customWidth="1"/>
    <col min="4625" max="4625" width="6.33203125" style="141" customWidth="1"/>
    <col min="4626" max="4865" width="11.44140625" style="141" customWidth="1"/>
    <col min="4866" max="4866" width="4.5546875" style="141" customWidth="1"/>
    <col min="4867" max="4867" width="10" style="141" bestFit="1" customWidth="1"/>
    <col min="4868" max="4873" width="9.5546875" style="141" customWidth="1"/>
    <col min="4874" max="4875" width="11.44140625" style="141" customWidth="1"/>
    <col min="4876" max="4876" width="54.88671875" style="141" customWidth="1"/>
    <col min="4877" max="4877" width="20.33203125" style="141" customWidth="1"/>
    <col min="4878" max="4878" width="13.88671875" style="141" customWidth="1"/>
    <col min="4879" max="4879" width="15.88671875" style="141" customWidth="1"/>
    <col min="4880" max="4880" width="5.44140625" style="141" bestFit="1" customWidth="1"/>
    <col min="4881" max="4881" width="6.33203125" style="141" customWidth="1"/>
    <col min="4882" max="5121" width="11.44140625" style="141" customWidth="1"/>
    <col min="5122" max="5122" width="4.5546875" style="141" customWidth="1"/>
    <col min="5123" max="5123" width="10" style="141" bestFit="1" customWidth="1"/>
    <col min="5124" max="5129" width="9.5546875" style="141" customWidth="1"/>
    <col min="5130" max="5131" width="11.44140625" style="141" customWidth="1"/>
    <col min="5132" max="5132" width="54.88671875" style="141" customWidth="1"/>
    <col min="5133" max="5133" width="20.33203125" style="141" customWidth="1"/>
    <col min="5134" max="5134" width="13.88671875" style="141" customWidth="1"/>
    <col min="5135" max="5135" width="15.88671875" style="141" customWidth="1"/>
    <col min="5136" max="5136" width="5.44140625" style="141" bestFit="1" customWidth="1"/>
    <col min="5137" max="5137" width="6.33203125" style="141" customWidth="1"/>
    <col min="5138" max="5377" width="11.44140625" style="141" customWidth="1"/>
    <col min="5378" max="5378" width="4.5546875" style="141" customWidth="1"/>
    <col min="5379" max="5379" width="10" style="141" bestFit="1" customWidth="1"/>
    <col min="5380" max="5385" width="9.5546875" style="141" customWidth="1"/>
    <col min="5386" max="5387" width="11.44140625" style="141" customWidth="1"/>
    <col min="5388" max="5388" width="54.88671875" style="141" customWidth="1"/>
    <col min="5389" max="5389" width="20.33203125" style="141" customWidth="1"/>
    <col min="5390" max="5390" width="13.88671875" style="141" customWidth="1"/>
    <col min="5391" max="5391" width="15.88671875" style="141" customWidth="1"/>
    <col min="5392" max="5392" width="5.44140625" style="141" bestFit="1" customWidth="1"/>
    <col min="5393" max="5393" width="6.33203125" style="141" customWidth="1"/>
    <col min="5394" max="5633" width="11.44140625" style="141" customWidth="1"/>
    <col min="5634" max="5634" width="4.5546875" style="141" customWidth="1"/>
    <col min="5635" max="5635" width="10" style="141" bestFit="1" customWidth="1"/>
    <col min="5636" max="5641" width="9.5546875" style="141" customWidth="1"/>
    <col min="5642" max="5643" width="11.44140625" style="141" customWidth="1"/>
    <col min="5644" max="5644" width="54.88671875" style="141" customWidth="1"/>
    <col min="5645" max="5645" width="20.33203125" style="141" customWidth="1"/>
    <col min="5646" max="5646" width="13.88671875" style="141" customWidth="1"/>
    <col min="5647" max="5647" width="15.88671875" style="141" customWidth="1"/>
    <col min="5648" max="5648" width="5.44140625" style="141" bestFit="1" customWidth="1"/>
    <col min="5649" max="5649" width="6.33203125" style="141" customWidth="1"/>
    <col min="5650" max="5889" width="11.44140625" style="141" customWidth="1"/>
    <col min="5890" max="5890" width="4.5546875" style="141" customWidth="1"/>
    <col min="5891" max="5891" width="10" style="141" bestFit="1" customWidth="1"/>
    <col min="5892" max="5897" width="9.5546875" style="141" customWidth="1"/>
    <col min="5898" max="5899" width="11.44140625" style="141" customWidth="1"/>
    <col min="5900" max="5900" width="54.88671875" style="141" customWidth="1"/>
    <col min="5901" max="5901" width="20.33203125" style="141" customWidth="1"/>
    <col min="5902" max="5902" width="13.88671875" style="141" customWidth="1"/>
    <col min="5903" max="5903" width="15.88671875" style="141" customWidth="1"/>
    <col min="5904" max="5904" width="5.44140625" style="141" bestFit="1" customWidth="1"/>
    <col min="5905" max="5905" width="6.33203125" style="141" customWidth="1"/>
    <col min="5906" max="6145" width="11.44140625" style="141" customWidth="1"/>
    <col min="6146" max="6146" width="4.5546875" style="141" customWidth="1"/>
    <col min="6147" max="6147" width="10" style="141" bestFit="1" customWidth="1"/>
    <col min="6148" max="6153" width="9.5546875" style="141" customWidth="1"/>
    <col min="6154" max="6155" width="11.44140625" style="141" customWidth="1"/>
    <col min="6156" max="6156" width="54.88671875" style="141" customWidth="1"/>
    <col min="6157" max="6157" width="20.33203125" style="141" customWidth="1"/>
    <col min="6158" max="6158" width="13.88671875" style="141" customWidth="1"/>
    <col min="6159" max="6159" width="15.88671875" style="141" customWidth="1"/>
    <col min="6160" max="6160" width="5.44140625" style="141" bestFit="1" customWidth="1"/>
    <col min="6161" max="6161" width="6.33203125" style="141" customWidth="1"/>
    <col min="6162" max="6401" width="11.44140625" style="141" customWidth="1"/>
    <col min="6402" max="6402" width="4.5546875" style="141" customWidth="1"/>
    <col min="6403" max="6403" width="10" style="141" bestFit="1" customWidth="1"/>
    <col min="6404" max="6409" width="9.5546875" style="141" customWidth="1"/>
    <col min="6410" max="6411" width="11.44140625" style="141" customWidth="1"/>
    <col min="6412" max="6412" width="54.88671875" style="141" customWidth="1"/>
    <col min="6413" max="6413" width="20.33203125" style="141" customWidth="1"/>
    <col min="6414" max="6414" width="13.88671875" style="141" customWidth="1"/>
    <col min="6415" max="6415" width="15.88671875" style="141" customWidth="1"/>
    <col min="6416" max="6416" width="5.44140625" style="141" bestFit="1" customWidth="1"/>
    <col min="6417" max="6417" width="6.33203125" style="141" customWidth="1"/>
    <col min="6418" max="6657" width="11.44140625" style="141" customWidth="1"/>
    <col min="6658" max="6658" width="4.5546875" style="141" customWidth="1"/>
    <col min="6659" max="6659" width="10" style="141" bestFit="1" customWidth="1"/>
    <col min="6660" max="6665" width="9.5546875" style="141" customWidth="1"/>
    <col min="6666" max="6667" width="11.44140625" style="141" customWidth="1"/>
    <col min="6668" max="6668" width="54.88671875" style="141" customWidth="1"/>
    <col min="6669" max="6669" width="20.33203125" style="141" customWidth="1"/>
    <col min="6670" max="6670" width="13.88671875" style="141" customWidth="1"/>
    <col min="6671" max="6671" width="15.88671875" style="141" customWidth="1"/>
    <col min="6672" max="6672" width="5.44140625" style="141" bestFit="1" customWidth="1"/>
    <col min="6673" max="6673" width="6.33203125" style="141" customWidth="1"/>
    <col min="6674" max="6913" width="11.44140625" style="141" customWidth="1"/>
    <col min="6914" max="6914" width="4.5546875" style="141" customWidth="1"/>
    <col min="6915" max="6915" width="10" style="141" bestFit="1" customWidth="1"/>
    <col min="6916" max="6921" width="9.5546875" style="141" customWidth="1"/>
    <col min="6922" max="6923" width="11.44140625" style="141" customWidth="1"/>
    <col min="6924" max="6924" width="54.88671875" style="141" customWidth="1"/>
    <col min="6925" max="6925" width="20.33203125" style="141" customWidth="1"/>
    <col min="6926" max="6926" width="13.88671875" style="141" customWidth="1"/>
    <col min="6927" max="6927" width="15.88671875" style="141" customWidth="1"/>
    <col min="6928" max="6928" width="5.44140625" style="141" bestFit="1" customWidth="1"/>
    <col min="6929" max="6929" width="6.33203125" style="141" customWidth="1"/>
    <col min="6930" max="7169" width="11.44140625" style="141" customWidth="1"/>
    <col min="7170" max="7170" width="4.5546875" style="141" customWidth="1"/>
    <col min="7171" max="7171" width="10" style="141" bestFit="1" customWidth="1"/>
    <col min="7172" max="7177" width="9.5546875" style="141" customWidth="1"/>
    <col min="7178" max="7179" width="11.44140625" style="141" customWidth="1"/>
    <col min="7180" max="7180" width="54.88671875" style="141" customWidth="1"/>
    <col min="7181" max="7181" width="20.33203125" style="141" customWidth="1"/>
    <col min="7182" max="7182" width="13.88671875" style="141" customWidth="1"/>
    <col min="7183" max="7183" width="15.88671875" style="141" customWidth="1"/>
    <col min="7184" max="7184" width="5.44140625" style="141" bestFit="1" customWidth="1"/>
    <col min="7185" max="7185" width="6.33203125" style="141" customWidth="1"/>
    <col min="7186" max="7425" width="11.44140625" style="141" customWidth="1"/>
    <col min="7426" max="7426" width="4.5546875" style="141" customWidth="1"/>
    <col min="7427" max="7427" width="10" style="141" bestFit="1" customWidth="1"/>
    <col min="7428" max="7433" width="9.5546875" style="141" customWidth="1"/>
    <col min="7434" max="7435" width="11.44140625" style="141" customWidth="1"/>
    <col min="7436" max="7436" width="54.88671875" style="141" customWidth="1"/>
    <col min="7437" max="7437" width="20.33203125" style="141" customWidth="1"/>
    <col min="7438" max="7438" width="13.88671875" style="141" customWidth="1"/>
    <col min="7439" max="7439" width="15.88671875" style="141" customWidth="1"/>
    <col min="7440" max="7440" width="5.44140625" style="141" bestFit="1" customWidth="1"/>
    <col min="7441" max="7441" width="6.33203125" style="141" customWidth="1"/>
    <col min="7442" max="7681" width="11.44140625" style="141" customWidth="1"/>
    <col min="7682" max="7682" width="4.5546875" style="141" customWidth="1"/>
    <col min="7683" max="7683" width="10" style="141" bestFit="1" customWidth="1"/>
    <col min="7684" max="7689" width="9.5546875" style="141" customWidth="1"/>
    <col min="7690" max="7691" width="11.44140625" style="141" customWidth="1"/>
    <col min="7692" max="7692" width="54.88671875" style="141" customWidth="1"/>
    <col min="7693" max="7693" width="20.33203125" style="141" customWidth="1"/>
    <col min="7694" max="7694" width="13.88671875" style="141" customWidth="1"/>
    <col min="7695" max="7695" width="15.88671875" style="141" customWidth="1"/>
    <col min="7696" max="7696" width="5.44140625" style="141" bestFit="1" customWidth="1"/>
    <col min="7697" max="7697" width="6.33203125" style="141" customWidth="1"/>
    <col min="7698" max="7937" width="11.44140625" style="141" customWidth="1"/>
    <col min="7938" max="7938" width="4.5546875" style="141" customWidth="1"/>
    <col min="7939" max="7939" width="10" style="141" bestFit="1" customWidth="1"/>
    <col min="7940" max="7945" width="9.5546875" style="141" customWidth="1"/>
    <col min="7946" max="7947" width="11.44140625" style="141" customWidth="1"/>
    <col min="7948" max="7948" width="54.88671875" style="141" customWidth="1"/>
    <col min="7949" max="7949" width="20.33203125" style="141" customWidth="1"/>
    <col min="7950" max="7950" width="13.88671875" style="141" customWidth="1"/>
    <col min="7951" max="7951" width="15.88671875" style="141" customWidth="1"/>
    <col min="7952" max="7952" width="5.44140625" style="141" bestFit="1" customWidth="1"/>
    <col min="7953" max="7953" width="6.33203125" style="141" customWidth="1"/>
    <col min="7954" max="8193" width="11.44140625" style="141" customWidth="1"/>
    <col min="8194" max="8194" width="4.5546875" style="141" customWidth="1"/>
    <col min="8195" max="8195" width="10" style="141" bestFit="1" customWidth="1"/>
    <col min="8196" max="8201" width="9.5546875" style="141" customWidth="1"/>
    <col min="8202" max="8203" width="11.44140625" style="141" customWidth="1"/>
    <col min="8204" max="8204" width="54.88671875" style="141" customWidth="1"/>
    <col min="8205" max="8205" width="20.33203125" style="141" customWidth="1"/>
    <col min="8206" max="8206" width="13.88671875" style="141" customWidth="1"/>
    <col min="8207" max="8207" width="15.88671875" style="141" customWidth="1"/>
    <col min="8208" max="8208" width="5.44140625" style="141" bestFit="1" customWidth="1"/>
    <col min="8209" max="8209" width="6.33203125" style="141" customWidth="1"/>
    <col min="8210" max="8449" width="11.44140625" style="141" customWidth="1"/>
    <col min="8450" max="8450" width="4.5546875" style="141" customWidth="1"/>
    <col min="8451" max="8451" width="10" style="141" bestFit="1" customWidth="1"/>
    <col min="8452" max="8457" width="9.5546875" style="141" customWidth="1"/>
    <col min="8458" max="8459" width="11.44140625" style="141" customWidth="1"/>
    <col min="8460" max="8460" width="54.88671875" style="141" customWidth="1"/>
    <col min="8461" max="8461" width="20.33203125" style="141" customWidth="1"/>
    <col min="8462" max="8462" width="13.88671875" style="141" customWidth="1"/>
    <col min="8463" max="8463" width="15.88671875" style="141" customWidth="1"/>
    <col min="8464" max="8464" width="5.44140625" style="141" bestFit="1" customWidth="1"/>
    <col min="8465" max="8465" width="6.33203125" style="141" customWidth="1"/>
    <col min="8466" max="8705" width="11.44140625" style="141" customWidth="1"/>
    <col min="8706" max="8706" width="4.5546875" style="141" customWidth="1"/>
    <col min="8707" max="8707" width="10" style="141" bestFit="1" customWidth="1"/>
    <col min="8708" max="8713" width="9.5546875" style="141" customWidth="1"/>
    <col min="8714" max="8715" width="11.44140625" style="141" customWidth="1"/>
    <col min="8716" max="8716" width="54.88671875" style="141" customWidth="1"/>
    <col min="8717" max="8717" width="20.33203125" style="141" customWidth="1"/>
    <col min="8718" max="8718" width="13.88671875" style="141" customWidth="1"/>
    <col min="8719" max="8719" width="15.88671875" style="141" customWidth="1"/>
    <col min="8720" max="8720" width="5.44140625" style="141" bestFit="1" customWidth="1"/>
    <col min="8721" max="8721" width="6.33203125" style="141" customWidth="1"/>
    <col min="8722" max="8961" width="11.44140625" style="141" customWidth="1"/>
    <col min="8962" max="8962" width="4.5546875" style="141" customWidth="1"/>
    <col min="8963" max="8963" width="10" style="141" bestFit="1" customWidth="1"/>
    <col min="8964" max="8969" width="9.5546875" style="141" customWidth="1"/>
    <col min="8970" max="8971" width="11.44140625" style="141" customWidth="1"/>
    <col min="8972" max="8972" width="54.88671875" style="141" customWidth="1"/>
    <col min="8973" max="8973" width="20.33203125" style="141" customWidth="1"/>
    <col min="8974" max="8974" width="13.88671875" style="141" customWidth="1"/>
    <col min="8975" max="8975" width="15.88671875" style="141" customWidth="1"/>
    <col min="8976" max="8976" width="5.44140625" style="141" bestFit="1" customWidth="1"/>
    <col min="8977" max="8977" width="6.33203125" style="141" customWidth="1"/>
    <col min="8978" max="9217" width="11.44140625" style="141" customWidth="1"/>
    <col min="9218" max="9218" width="4.5546875" style="141" customWidth="1"/>
    <col min="9219" max="9219" width="10" style="141" bestFit="1" customWidth="1"/>
    <col min="9220" max="9225" width="9.5546875" style="141" customWidth="1"/>
    <col min="9226" max="9227" width="11.44140625" style="141" customWidth="1"/>
    <col min="9228" max="9228" width="54.88671875" style="141" customWidth="1"/>
    <col min="9229" max="9229" width="20.33203125" style="141" customWidth="1"/>
    <col min="9230" max="9230" width="13.88671875" style="141" customWidth="1"/>
    <col min="9231" max="9231" width="15.88671875" style="141" customWidth="1"/>
    <col min="9232" max="9232" width="5.44140625" style="141" bestFit="1" customWidth="1"/>
    <col min="9233" max="9233" width="6.33203125" style="141" customWidth="1"/>
    <col min="9234" max="9473" width="11.44140625" style="141" customWidth="1"/>
    <col min="9474" max="9474" width="4.5546875" style="141" customWidth="1"/>
    <col min="9475" max="9475" width="10" style="141" bestFit="1" customWidth="1"/>
    <col min="9476" max="9481" width="9.5546875" style="141" customWidth="1"/>
    <col min="9482" max="9483" width="11.44140625" style="141" customWidth="1"/>
    <col min="9484" max="9484" width="54.88671875" style="141" customWidth="1"/>
    <col min="9485" max="9485" width="20.33203125" style="141" customWidth="1"/>
    <col min="9486" max="9486" width="13.88671875" style="141" customWidth="1"/>
    <col min="9487" max="9487" width="15.88671875" style="141" customWidth="1"/>
    <col min="9488" max="9488" width="5.44140625" style="141" bestFit="1" customWidth="1"/>
    <col min="9489" max="9489" width="6.33203125" style="141" customWidth="1"/>
    <col min="9490" max="9729" width="11.44140625" style="141" customWidth="1"/>
    <col min="9730" max="9730" width="4.5546875" style="141" customWidth="1"/>
    <col min="9731" max="9731" width="10" style="141" bestFit="1" customWidth="1"/>
    <col min="9732" max="9737" width="9.5546875" style="141" customWidth="1"/>
    <col min="9738" max="9739" width="11.44140625" style="141" customWidth="1"/>
    <col min="9740" max="9740" width="54.88671875" style="141" customWidth="1"/>
    <col min="9741" max="9741" width="20.33203125" style="141" customWidth="1"/>
    <col min="9742" max="9742" width="13.88671875" style="141" customWidth="1"/>
    <col min="9743" max="9743" width="15.88671875" style="141" customWidth="1"/>
    <col min="9744" max="9744" width="5.44140625" style="141" bestFit="1" customWidth="1"/>
    <col min="9745" max="9745" width="6.33203125" style="141" customWidth="1"/>
    <col min="9746" max="9985" width="11.44140625" style="141" customWidth="1"/>
    <col min="9986" max="9986" width="4.5546875" style="141" customWidth="1"/>
    <col min="9987" max="9987" width="10" style="141" bestFit="1" customWidth="1"/>
    <col min="9988" max="9993" width="9.5546875" style="141" customWidth="1"/>
    <col min="9994" max="9995" width="11.44140625" style="141" customWidth="1"/>
    <col min="9996" max="9996" width="54.88671875" style="141" customWidth="1"/>
    <col min="9997" max="9997" width="20.33203125" style="141" customWidth="1"/>
    <col min="9998" max="9998" width="13.88671875" style="141" customWidth="1"/>
    <col min="9999" max="9999" width="15.88671875" style="141" customWidth="1"/>
    <col min="10000" max="10000" width="5.44140625" style="141" bestFit="1" customWidth="1"/>
    <col min="10001" max="10001" width="6.33203125" style="141" customWidth="1"/>
    <col min="10002" max="10241" width="11.44140625" style="141" customWidth="1"/>
    <col min="10242" max="10242" width="4.5546875" style="141" customWidth="1"/>
    <col min="10243" max="10243" width="10" style="141" bestFit="1" customWidth="1"/>
    <col min="10244" max="10249" width="9.5546875" style="141" customWidth="1"/>
    <col min="10250" max="10251" width="11.44140625" style="141" customWidth="1"/>
    <col min="10252" max="10252" width="54.88671875" style="141" customWidth="1"/>
    <col min="10253" max="10253" width="20.33203125" style="141" customWidth="1"/>
    <col min="10254" max="10254" width="13.88671875" style="141" customWidth="1"/>
    <col min="10255" max="10255" width="15.88671875" style="141" customWidth="1"/>
    <col min="10256" max="10256" width="5.44140625" style="141" bestFit="1" customWidth="1"/>
    <col min="10257" max="10257" width="6.33203125" style="141" customWidth="1"/>
    <col min="10258" max="10497" width="11.44140625" style="141" customWidth="1"/>
    <col min="10498" max="10498" width="4.5546875" style="141" customWidth="1"/>
    <col min="10499" max="10499" width="10" style="141" bestFit="1" customWidth="1"/>
    <col min="10500" max="10505" width="9.5546875" style="141" customWidth="1"/>
    <col min="10506" max="10507" width="11.44140625" style="141" customWidth="1"/>
    <col min="10508" max="10508" width="54.88671875" style="141" customWidth="1"/>
    <col min="10509" max="10509" width="20.33203125" style="141" customWidth="1"/>
    <col min="10510" max="10510" width="13.88671875" style="141" customWidth="1"/>
    <col min="10511" max="10511" width="15.88671875" style="141" customWidth="1"/>
    <col min="10512" max="10512" width="5.44140625" style="141" bestFit="1" customWidth="1"/>
    <col min="10513" max="10513" width="6.33203125" style="141" customWidth="1"/>
    <col min="10514" max="10753" width="11.44140625" style="141" customWidth="1"/>
    <col min="10754" max="10754" width="4.5546875" style="141" customWidth="1"/>
    <col min="10755" max="10755" width="10" style="141" bestFit="1" customWidth="1"/>
    <col min="10756" max="10761" width="9.5546875" style="141" customWidth="1"/>
    <col min="10762" max="10763" width="11.44140625" style="141" customWidth="1"/>
    <col min="10764" max="10764" width="54.88671875" style="141" customWidth="1"/>
    <col min="10765" max="10765" width="20.33203125" style="141" customWidth="1"/>
    <col min="10766" max="10766" width="13.88671875" style="141" customWidth="1"/>
    <col min="10767" max="10767" width="15.88671875" style="141" customWidth="1"/>
    <col min="10768" max="10768" width="5.44140625" style="141" bestFit="1" customWidth="1"/>
    <col min="10769" max="10769" width="6.33203125" style="141" customWidth="1"/>
    <col min="10770" max="11009" width="11.44140625" style="141" customWidth="1"/>
    <col min="11010" max="11010" width="4.5546875" style="141" customWidth="1"/>
    <col min="11011" max="11011" width="10" style="141" bestFit="1" customWidth="1"/>
    <col min="11012" max="11017" width="9.5546875" style="141" customWidth="1"/>
    <col min="11018" max="11019" width="11.44140625" style="141" customWidth="1"/>
    <col min="11020" max="11020" width="54.88671875" style="141" customWidth="1"/>
    <col min="11021" max="11021" width="20.33203125" style="141" customWidth="1"/>
    <col min="11022" max="11022" width="13.88671875" style="141" customWidth="1"/>
    <col min="11023" max="11023" width="15.88671875" style="141" customWidth="1"/>
    <col min="11024" max="11024" width="5.44140625" style="141" bestFit="1" customWidth="1"/>
    <col min="11025" max="11025" width="6.33203125" style="141" customWidth="1"/>
    <col min="11026" max="11265" width="11.44140625" style="141" customWidth="1"/>
    <col min="11266" max="11266" width="4.5546875" style="141" customWidth="1"/>
    <col min="11267" max="11267" width="10" style="141" bestFit="1" customWidth="1"/>
    <col min="11268" max="11273" width="9.5546875" style="141" customWidth="1"/>
    <col min="11274" max="11275" width="11.44140625" style="141" customWidth="1"/>
    <col min="11276" max="11276" width="54.88671875" style="141" customWidth="1"/>
    <col min="11277" max="11277" width="20.33203125" style="141" customWidth="1"/>
    <col min="11278" max="11278" width="13.88671875" style="141" customWidth="1"/>
    <col min="11279" max="11279" width="15.88671875" style="141" customWidth="1"/>
    <col min="11280" max="11280" width="5.44140625" style="141" bestFit="1" customWidth="1"/>
    <col min="11281" max="11281" width="6.33203125" style="141" customWidth="1"/>
    <col min="11282" max="11521" width="11.44140625" style="141" customWidth="1"/>
    <col min="11522" max="11522" width="4.5546875" style="141" customWidth="1"/>
    <col min="11523" max="11523" width="10" style="141" bestFit="1" customWidth="1"/>
    <col min="11524" max="11529" width="9.5546875" style="141" customWidth="1"/>
    <col min="11530" max="11531" width="11.44140625" style="141" customWidth="1"/>
    <col min="11532" max="11532" width="54.88671875" style="141" customWidth="1"/>
    <col min="11533" max="11533" width="20.33203125" style="141" customWidth="1"/>
    <col min="11534" max="11534" width="13.88671875" style="141" customWidth="1"/>
    <col min="11535" max="11535" width="15.88671875" style="141" customWidth="1"/>
    <col min="11536" max="11536" width="5.44140625" style="141" bestFit="1" customWidth="1"/>
    <col min="11537" max="11537" width="6.33203125" style="141" customWidth="1"/>
    <col min="11538" max="11777" width="11.44140625" style="141" customWidth="1"/>
    <col min="11778" max="11778" width="4.5546875" style="141" customWidth="1"/>
    <col min="11779" max="11779" width="10" style="141" bestFit="1" customWidth="1"/>
    <col min="11780" max="11785" width="9.5546875" style="141" customWidth="1"/>
    <col min="11786" max="11787" width="11.44140625" style="141" customWidth="1"/>
    <col min="11788" max="11788" width="54.88671875" style="141" customWidth="1"/>
    <col min="11789" max="11789" width="20.33203125" style="141" customWidth="1"/>
    <col min="11790" max="11790" width="13.88671875" style="141" customWidth="1"/>
    <col min="11791" max="11791" width="15.88671875" style="141" customWidth="1"/>
    <col min="11792" max="11792" width="5.44140625" style="141" bestFit="1" customWidth="1"/>
    <col min="11793" max="11793" width="6.33203125" style="141" customWidth="1"/>
    <col min="11794" max="12033" width="11.44140625" style="141" customWidth="1"/>
    <col min="12034" max="12034" width="4.5546875" style="141" customWidth="1"/>
    <col min="12035" max="12035" width="10" style="141" bestFit="1" customWidth="1"/>
    <col min="12036" max="12041" width="9.5546875" style="141" customWidth="1"/>
    <col min="12042" max="12043" width="11.44140625" style="141" customWidth="1"/>
    <col min="12044" max="12044" width="54.88671875" style="141" customWidth="1"/>
    <col min="12045" max="12045" width="20.33203125" style="141" customWidth="1"/>
    <col min="12046" max="12046" width="13.88671875" style="141" customWidth="1"/>
    <col min="12047" max="12047" width="15.88671875" style="141" customWidth="1"/>
    <col min="12048" max="12048" width="5.44140625" style="141" bestFit="1" customWidth="1"/>
    <col min="12049" max="12049" width="6.33203125" style="141" customWidth="1"/>
    <col min="12050" max="12289" width="11.44140625" style="141" customWidth="1"/>
    <col min="12290" max="12290" width="4.5546875" style="141" customWidth="1"/>
    <col min="12291" max="12291" width="10" style="141" bestFit="1" customWidth="1"/>
    <col min="12292" max="12297" width="9.5546875" style="141" customWidth="1"/>
    <col min="12298" max="12299" width="11.44140625" style="141" customWidth="1"/>
    <col min="12300" max="12300" width="54.88671875" style="141" customWidth="1"/>
    <col min="12301" max="12301" width="20.33203125" style="141" customWidth="1"/>
    <col min="12302" max="12302" width="13.88671875" style="141" customWidth="1"/>
    <col min="12303" max="12303" width="15.88671875" style="141" customWidth="1"/>
    <col min="12304" max="12304" width="5.44140625" style="141" bestFit="1" customWidth="1"/>
    <col min="12305" max="12305" width="6.33203125" style="141" customWidth="1"/>
    <col min="12306" max="12545" width="11.44140625" style="141" customWidth="1"/>
    <col min="12546" max="12546" width="4.5546875" style="141" customWidth="1"/>
    <col min="12547" max="12547" width="10" style="141" bestFit="1" customWidth="1"/>
    <col min="12548" max="12553" width="9.5546875" style="141" customWidth="1"/>
    <col min="12554" max="12555" width="11.44140625" style="141" customWidth="1"/>
    <col min="12556" max="12556" width="54.88671875" style="141" customWidth="1"/>
    <col min="12557" max="12557" width="20.33203125" style="141" customWidth="1"/>
    <col min="12558" max="12558" width="13.88671875" style="141" customWidth="1"/>
    <col min="12559" max="12559" width="15.88671875" style="141" customWidth="1"/>
    <col min="12560" max="12560" width="5.44140625" style="141" bestFit="1" customWidth="1"/>
    <col min="12561" max="12561" width="6.33203125" style="141" customWidth="1"/>
    <col min="12562" max="12801" width="11.44140625" style="141" customWidth="1"/>
    <col min="12802" max="12802" width="4.5546875" style="141" customWidth="1"/>
    <col min="12803" max="12803" width="10" style="141" bestFit="1" customWidth="1"/>
    <col min="12804" max="12809" width="9.5546875" style="141" customWidth="1"/>
    <col min="12810" max="12811" width="11.44140625" style="141" customWidth="1"/>
    <col min="12812" max="12812" width="54.88671875" style="141" customWidth="1"/>
    <col min="12813" max="12813" width="20.33203125" style="141" customWidth="1"/>
    <col min="12814" max="12814" width="13.88671875" style="141" customWidth="1"/>
    <col min="12815" max="12815" width="15.88671875" style="141" customWidth="1"/>
    <col min="12816" max="12816" width="5.44140625" style="141" bestFit="1" customWidth="1"/>
    <col min="12817" max="12817" width="6.33203125" style="141" customWidth="1"/>
    <col min="12818" max="13057" width="11.44140625" style="141" customWidth="1"/>
    <col min="13058" max="13058" width="4.5546875" style="141" customWidth="1"/>
    <col min="13059" max="13059" width="10" style="141" bestFit="1" customWidth="1"/>
    <col min="13060" max="13065" width="9.5546875" style="141" customWidth="1"/>
    <col min="13066" max="13067" width="11.44140625" style="141" customWidth="1"/>
    <col min="13068" max="13068" width="54.88671875" style="141" customWidth="1"/>
    <col min="13069" max="13069" width="20.33203125" style="141" customWidth="1"/>
    <col min="13070" max="13070" width="13.88671875" style="141" customWidth="1"/>
    <col min="13071" max="13071" width="15.88671875" style="141" customWidth="1"/>
    <col min="13072" max="13072" width="5.44140625" style="141" bestFit="1" customWidth="1"/>
    <col min="13073" max="13073" width="6.33203125" style="141" customWidth="1"/>
    <col min="13074" max="13313" width="11.44140625" style="141" customWidth="1"/>
    <col min="13314" max="13314" width="4.5546875" style="141" customWidth="1"/>
    <col min="13315" max="13315" width="10" style="141" bestFit="1" customWidth="1"/>
    <col min="13316" max="13321" width="9.5546875" style="141" customWidth="1"/>
    <col min="13322" max="13323" width="11.44140625" style="141" customWidth="1"/>
    <col min="13324" max="13324" width="54.88671875" style="141" customWidth="1"/>
    <col min="13325" max="13325" width="20.33203125" style="141" customWidth="1"/>
    <col min="13326" max="13326" width="13.88671875" style="141" customWidth="1"/>
    <col min="13327" max="13327" width="15.88671875" style="141" customWidth="1"/>
    <col min="13328" max="13328" width="5.44140625" style="141" bestFit="1" customWidth="1"/>
    <col min="13329" max="13329" width="6.33203125" style="141" customWidth="1"/>
    <col min="13330" max="13569" width="11.44140625" style="141" customWidth="1"/>
    <col min="13570" max="13570" width="4.5546875" style="141" customWidth="1"/>
    <col min="13571" max="13571" width="10" style="141" bestFit="1" customWidth="1"/>
    <col min="13572" max="13577" width="9.5546875" style="141" customWidth="1"/>
    <col min="13578" max="13579" width="11.44140625" style="141" customWidth="1"/>
    <col min="13580" max="13580" width="54.88671875" style="141" customWidth="1"/>
    <col min="13581" max="13581" width="20.33203125" style="141" customWidth="1"/>
    <col min="13582" max="13582" width="13.88671875" style="141" customWidth="1"/>
    <col min="13583" max="13583" width="15.88671875" style="141" customWidth="1"/>
    <col min="13584" max="13584" width="5.44140625" style="141" bestFit="1" customWidth="1"/>
    <col min="13585" max="13585" width="6.33203125" style="141" customWidth="1"/>
    <col min="13586" max="13825" width="11.44140625" style="141" customWidth="1"/>
    <col min="13826" max="13826" width="4.5546875" style="141" customWidth="1"/>
    <col min="13827" max="13827" width="10" style="141" bestFit="1" customWidth="1"/>
    <col min="13828" max="13833" width="9.5546875" style="141" customWidth="1"/>
    <col min="13834" max="13835" width="11.44140625" style="141" customWidth="1"/>
    <col min="13836" max="13836" width="54.88671875" style="141" customWidth="1"/>
    <col min="13837" max="13837" width="20.33203125" style="141" customWidth="1"/>
    <col min="13838" max="13838" width="13.88671875" style="141" customWidth="1"/>
    <col min="13839" max="13839" width="15.88671875" style="141" customWidth="1"/>
    <col min="13840" max="13840" width="5.44140625" style="141" bestFit="1" customWidth="1"/>
    <col min="13841" max="13841" width="6.33203125" style="141" customWidth="1"/>
    <col min="13842" max="14081" width="11.44140625" style="141" customWidth="1"/>
    <col min="14082" max="14082" width="4.5546875" style="141" customWidth="1"/>
    <col min="14083" max="14083" width="10" style="141" bestFit="1" customWidth="1"/>
    <col min="14084" max="14089" width="9.5546875" style="141" customWidth="1"/>
    <col min="14090" max="14091" width="11.44140625" style="141" customWidth="1"/>
    <col min="14092" max="14092" width="54.88671875" style="141" customWidth="1"/>
    <col min="14093" max="14093" width="20.33203125" style="141" customWidth="1"/>
    <col min="14094" max="14094" width="13.88671875" style="141" customWidth="1"/>
    <col min="14095" max="14095" width="15.88671875" style="141" customWidth="1"/>
    <col min="14096" max="14096" width="5.44140625" style="141" bestFit="1" customWidth="1"/>
    <col min="14097" max="14097" width="6.33203125" style="141" customWidth="1"/>
    <col min="14098" max="14337" width="11.44140625" style="141" customWidth="1"/>
    <col min="14338" max="14338" width="4.5546875" style="141" customWidth="1"/>
    <col min="14339" max="14339" width="10" style="141" bestFit="1" customWidth="1"/>
    <col min="14340" max="14345" width="9.5546875" style="141" customWidth="1"/>
    <col min="14346" max="14347" width="11.44140625" style="141" customWidth="1"/>
    <col min="14348" max="14348" width="54.88671875" style="141" customWidth="1"/>
    <col min="14349" max="14349" width="20.33203125" style="141" customWidth="1"/>
    <col min="14350" max="14350" width="13.88671875" style="141" customWidth="1"/>
    <col min="14351" max="14351" width="15.88671875" style="141" customWidth="1"/>
    <col min="14352" max="14352" width="5.44140625" style="141" bestFit="1" customWidth="1"/>
    <col min="14353" max="14353" width="6.33203125" style="141" customWidth="1"/>
    <col min="14354" max="14593" width="11.44140625" style="141" customWidth="1"/>
    <col min="14594" max="14594" width="4.5546875" style="141" customWidth="1"/>
    <col min="14595" max="14595" width="10" style="141" bestFit="1" customWidth="1"/>
    <col min="14596" max="14601" width="9.5546875" style="141" customWidth="1"/>
    <col min="14602" max="14603" width="11.44140625" style="141" customWidth="1"/>
    <col min="14604" max="14604" width="54.88671875" style="141" customWidth="1"/>
    <col min="14605" max="14605" width="20.33203125" style="141" customWidth="1"/>
    <col min="14606" max="14606" width="13.88671875" style="141" customWidth="1"/>
    <col min="14607" max="14607" width="15.88671875" style="141" customWidth="1"/>
    <col min="14608" max="14608" width="5.44140625" style="141" bestFit="1" customWidth="1"/>
    <col min="14609" max="14609" width="6.33203125" style="141" customWidth="1"/>
    <col min="14610" max="14849" width="11.44140625" style="141" customWidth="1"/>
    <col min="14850" max="14850" width="4.5546875" style="141" customWidth="1"/>
    <col min="14851" max="14851" width="10" style="141" bestFit="1" customWidth="1"/>
    <col min="14852" max="14857" width="9.5546875" style="141" customWidth="1"/>
    <col min="14858" max="14859" width="11.44140625" style="141" customWidth="1"/>
    <col min="14860" max="14860" width="54.88671875" style="141" customWidth="1"/>
    <col min="14861" max="14861" width="20.33203125" style="141" customWidth="1"/>
    <col min="14862" max="14862" width="13.88671875" style="141" customWidth="1"/>
    <col min="14863" max="14863" width="15.88671875" style="141" customWidth="1"/>
    <col min="14864" max="14864" width="5.44140625" style="141" bestFit="1" customWidth="1"/>
    <col min="14865" max="14865" width="6.33203125" style="141" customWidth="1"/>
    <col min="14866" max="15105" width="11.44140625" style="141" customWidth="1"/>
    <col min="15106" max="15106" width="4.5546875" style="141" customWidth="1"/>
    <col min="15107" max="15107" width="10" style="141" bestFit="1" customWidth="1"/>
    <col min="15108" max="15113" width="9.5546875" style="141" customWidth="1"/>
    <col min="15114" max="15115" width="11.44140625" style="141" customWidth="1"/>
    <col min="15116" max="15116" width="54.88671875" style="141" customWidth="1"/>
    <col min="15117" max="15117" width="20.33203125" style="141" customWidth="1"/>
    <col min="15118" max="15118" width="13.88671875" style="141" customWidth="1"/>
    <col min="15119" max="15119" width="15.88671875" style="141" customWidth="1"/>
    <col min="15120" max="15120" width="5.44140625" style="141" bestFit="1" customWidth="1"/>
    <col min="15121" max="15121" width="6.33203125" style="141" customWidth="1"/>
    <col min="15122" max="15361" width="11.44140625" style="141" customWidth="1"/>
    <col min="15362" max="15362" width="4.5546875" style="141" customWidth="1"/>
    <col min="15363" max="15363" width="10" style="141" bestFit="1" customWidth="1"/>
    <col min="15364" max="15369" width="9.5546875" style="141" customWidth="1"/>
    <col min="15370" max="15371" width="11.44140625" style="141" customWidth="1"/>
    <col min="15372" max="15372" width="54.88671875" style="141" customWidth="1"/>
    <col min="15373" max="15373" width="20.33203125" style="141" customWidth="1"/>
    <col min="15374" max="15374" width="13.88671875" style="141" customWidth="1"/>
    <col min="15375" max="15375" width="15.88671875" style="141" customWidth="1"/>
    <col min="15376" max="15376" width="5.44140625" style="141" bestFit="1" customWidth="1"/>
    <col min="15377" max="15377" width="6.33203125" style="141" customWidth="1"/>
    <col min="15378" max="15617" width="11.44140625" style="141" customWidth="1"/>
    <col min="15618" max="15618" width="4.5546875" style="141" customWidth="1"/>
    <col min="15619" max="15619" width="10" style="141" bestFit="1" customWidth="1"/>
    <col min="15620" max="15625" width="9.5546875" style="141" customWidth="1"/>
    <col min="15626" max="15627" width="11.44140625" style="141" customWidth="1"/>
    <col min="15628" max="15628" width="54.88671875" style="141" customWidth="1"/>
    <col min="15629" max="15629" width="20.33203125" style="141" customWidth="1"/>
    <col min="15630" max="15630" width="13.88671875" style="141" customWidth="1"/>
    <col min="15631" max="15631" width="15.88671875" style="141" customWidth="1"/>
    <col min="15632" max="15632" width="5.44140625" style="141" bestFit="1" customWidth="1"/>
    <col min="15633" max="15633" width="6.33203125" style="141" customWidth="1"/>
    <col min="15634" max="15873" width="11.44140625" style="141" customWidth="1"/>
    <col min="15874" max="15874" width="4.5546875" style="141" customWidth="1"/>
    <col min="15875" max="15875" width="10" style="141" bestFit="1" customWidth="1"/>
    <col min="15876" max="15881" width="9.5546875" style="141" customWidth="1"/>
    <col min="15882" max="15883" width="11.44140625" style="141" customWidth="1"/>
    <col min="15884" max="15884" width="54.88671875" style="141" customWidth="1"/>
    <col min="15885" max="15885" width="20.33203125" style="141" customWidth="1"/>
    <col min="15886" max="15886" width="13.88671875" style="141" customWidth="1"/>
    <col min="15887" max="15887" width="15.88671875" style="141" customWidth="1"/>
    <col min="15888" max="15888" width="5.44140625" style="141" bestFit="1" customWidth="1"/>
    <col min="15889" max="15889" width="6.33203125" style="141" customWidth="1"/>
    <col min="15890" max="16129" width="11.44140625" style="141" customWidth="1"/>
    <col min="16130" max="16130" width="4.5546875" style="141" customWidth="1"/>
    <col min="16131" max="16131" width="10" style="141" bestFit="1" customWidth="1"/>
    <col min="16132" max="16137" width="9.5546875" style="141" customWidth="1"/>
    <col min="16138" max="16139" width="11.44140625" style="141" customWidth="1"/>
    <col min="16140" max="16140" width="54.88671875" style="141" customWidth="1"/>
    <col min="16141" max="16141" width="20.33203125" style="141" customWidth="1"/>
    <col min="16142" max="16142" width="13.88671875" style="141" customWidth="1"/>
    <col min="16143" max="16143" width="15.88671875" style="141" customWidth="1"/>
    <col min="16144" max="16144" width="5.44140625" style="141" bestFit="1" customWidth="1"/>
    <col min="16145" max="16145" width="6.33203125" style="141" customWidth="1"/>
    <col min="16146" max="16384" width="11.44140625" style="141" customWidth="1"/>
  </cols>
  <sheetData>
    <row r="1" spans="1:29" ht="15.75" customHeight="1" thickBot="1" x14ac:dyDescent="0.35"/>
    <row r="2" spans="1:29" ht="15" customHeight="1" x14ac:dyDescent="0.3">
      <c r="B2" s="180" t="s">
        <v>194</v>
      </c>
      <c r="C2" s="172"/>
      <c r="D2" s="172"/>
      <c r="E2" s="172"/>
      <c r="F2" s="172"/>
      <c r="G2" s="172"/>
      <c r="H2" s="172"/>
      <c r="I2" s="172"/>
      <c r="J2" s="172"/>
      <c r="K2" s="172"/>
      <c r="L2" s="172"/>
      <c r="M2" s="172"/>
      <c r="N2" s="173"/>
    </row>
    <row r="3" spans="1:29" ht="15.75" customHeight="1" thickBot="1" x14ac:dyDescent="0.35">
      <c r="B3" s="174"/>
      <c r="C3" s="175"/>
      <c r="D3" s="175"/>
      <c r="E3" s="175"/>
      <c r="F3" s="175"/>
      <c r="G3" s="175"/>
      <c r="H3" s="175"/>
      <c r="I3" s="175"/>
      <c r="J3" s="175"/>
      <c r="K3" s="175"/>
      <c r="L3" s="175"/>
      <c r="M3" s="175"/>
      <c r="N3" s="176"/>
    </row>
    <row r="4" spans="1:29" ht="15.75" customHeight="1" x14ac:dyDescent="0.3">
      <c r="B4" s="171" t="s">
        <v>195</v>
      </c>
      <c r="C4" s="172"/>
      <c r="D4" s="172"/>
      <c r="E4" s="172"/>
      <c r="F4" s="172"/>
      <c r="G4" s="172"/>
      <c r="H4" s="172"/>
      <c r="I4" s="172"/>
      <c r="J4" s="173"/>
      <c r="K4" s="55"/>
      <c r="L4" s="182" t="str">
        <f>N16</f>
        <v>INICIAL</v>
      </c>
      <c r="M4" s="172"/>
      <c r="N4" s="173"/>
    </row>
    <row r="5" spans="1:29" ht="16.5" customHeight="1" thickBot="1" x14ac:dyDescent="0.35">
      <c r="B5" s="174"/>
      <c r="C5" s="175"/>
      <c r="D5" s="175"/>
      <c r="E5" s="175"/>
      <c r="F5" s="175"/>
      <c r="G5" s="175"/>
      <c r="H5" s="175"/>
      <c r="I5" s="175"/>
      <c r="J5" s="176"/>
      <c r="K5" s="56"/>
      <c r="L5" s="175"/>
      <c r="M5" s="175"/>
      <c r="N5" s="176"/>
    </row>
    <row r="6" spans="1:29" ht="15.75" customHeight="1" thickBot="1" x14ac:dyDescent="0.35"/>
    <row r="7" spans="1:29" ht="15.75" customHeight="1" thickBot="1" x14ac:dyDescent="0.35">
      <c r="A7" s="143"/>
      <c r="B7" s="177" t="s">
        <v>196</v>
      </c>
      <c r="C7" s="178"/>
      <c r="D7" s="178"/>
      <c r="E7" s="178"/>
      <c r="F7" s="178"/>
      <c r="G7" s="178"/>
      <c r="H7" s="178"/>
      <c r="I7" s="179"/>
      <c r="L7" s="183" t="s">
        <v>197</v>
      </c>
      <c r="M7" s="184"/>
      <c r="N7" s="185"/>
      <c r="O7" s="3"/>
      <c r="AC7" s="18"/>
    </row>
    <row r="8" spans="1:29" ht="28.5" customHeight="1" thickBot="1" x14ac:dyDescent="0.35">
      <c r="A8" s="143"/>
      <c r="B8" s="144" t="s">
        <v>198</v>
      </c>
      <c r="C8" s="144">
        <v>0</v>
      </c>
      <c r="D8" s="144">
        <v>0.25</v>
      </c>
      <c r="E8" s="144">
        <v>0.5</v>
      </c>
      <c r="F8" s="144">
        <v>0.75</v>
      </c>
      <c r="G8" s="144">
        <v>1</v>
      </c>
      <c r="H8" s="145" t="s">
        <v>19</v>
      </c>
      <c r="I8" s="146" t="s">
        <v>199</v>
      </c>
      <c r="J8" s="27"/>
      <c r="K8" s="27"/>
      <c r="L8" s="44" t="s">
        <v>200</v>
      </c>
      <c r="M8" s="45" t="s">
        <v>201</v>
      </c>
      <c r="N8" s="49" t="s">
        <v>4</v>
      </c>
      <c r="AC8" s="18"/>
    </row>
    <row r="9" spans="1:29" x14ac:dyDescent="0.3">
      <c r="A9" s="143"/>
      <c r="B9" s="147" t="s">
        <v>202</v>
      </c>
      <c r="C9" s="148">
        <f>COUNTA(REQUISITOS!B15:B18)</f>
        <v>0</v>
      </c>
      <c r="D9" s="148">
        <f>COUNTA(REQUISITOS!C15:C18)</f>
        <v>0</v>
      </c>
      <c r="E9" s="148">
        <f>COUNTA(REQUISITOS!D15:D18)</f>
        <v>0</v>
      </c>
      <c r="F9" s="148">
        <f>COUNTA(REQUISITOS!E15:E18)</f>
        <v>0</v>
      </c>
      <c r="G9" s="148">
        <f>COUNTA(REQUISITOS!F15:F18)</f>
        <v>0</v>
      </c>
      <c r="H9" s="148">
        <f>COUNTA(REQUISITOS!G15:G18)</f>
        <v>0</v>
      </c>
      <c r="I9" s="148">
        <f>SUM(C9:H9)</f>
        <v>0</v>
      </c>
      <c r="J9" s="3"/>
      <c r="K9" s="3"/>
      <c r="L9" s="43" t="str">
        <f>B7</f>
        <v>4. CONTEXTO DE LA ORGANIZACIÓN</v>
      </c>
      <c r="M9" s="46">
        <f>B15</f>
        <v>0</v>
      </c>
      <c r="N9" s="50" t="str">
        <f t="shared" ref="N9:N16" si="0">IF(M9&lt;=24%,"INICIAL",IF(M9&lt;=49%,"NOVATO",IF(M9&lt;=74%,"COMPETENTE",IF(M9&lt;=99%,"AVANZADO","EXPERTO"))))</f>
        <v>INICIAL</v>
      </c>
    </row>
    <row r="10" spans="1:29" x14ac:dyDescent="0.3">
      <c r="A10" s="143"/>
      <c r="B10" s="149" t="s">
        <v>203</v>
      </c>
      <c r="C10" s="148">
        <f>COUNTA(REQUISITOS!B21:B25)</f>
        <v>0</v>
      </c>
      <c r="D10" s="148">
        <f>COUNTA(REQUISITOS!C21:C25)</f>
        <v>0</v>
      </c>
      <c r="E10" s="148">
        <f>COUNTA(REQUISITOS!D21:D25)</f>
        <v>0</v>
      </c>
      <c r="F10" s="148">
        <f>COUNTA(REQUISITOS!E21:E25)</f>
        <v>0</v>
      </c>
      <c r="G10" s="148">
        <f>COUNTA(REQUISITOS!F21:F25)</f>
        <v>0</v>
      </c>
      <c r="H10" s="148">
        <f>COUNTA(REQUISITOS!G21:G25)</f>
        <v>0</v>
      </c>
      <c r="I10" s="148">
        <f>SUM(C10:H10)</f>
        <v>0</v>
      </c>
      <c r="J10" s="3"/>
      <c r="K10" s="3"/>
      <c r="L10" s="7" t="str">
        <f>B18</f>
        <v>5. LIDERAZGO</v>
      </c>
      <c r="M10" s="47">
        <f>B25</f>
        <v>0</v>
      </c>
      <c r="N10" s="51" t="str">
        <f t="shared" si="0"/>
        <v>INICIAL</v>
      </c>
      <c r="AC10" s="28"/>
    </row>
    <row r="11" spans="1:29" x14ac:dyDescent="0.3">
      <c r="A11" s="143"/>
      <c r="B11" s="149" t="s">
        <v>204</v>
      </c>
      <c r="C11" s="148">
        <f>COUNTA(REQUISITOS!B28:B32)</f>
        <v>0</v>
      </c>
      <c r="D11" s="148">
        <f>COUNTA(REQUISITOS!C28:C32)</f>
        <v>0</v>
      </c>
      <c r="E11" s="148">
        <f>COUNTA(REQUISITOS!D28:D32)</f>
        <v>0</v>
      </c>
      <c r="F11" s="148">
        <f>COUNTA(REQUISITOS!E28:E32)</f>
        <v>0</v>
      </c>
      <c r="G11" s="148">
        <f>COUNTA(REQUISITOS!F28:F32)</f>
        <v>0</v>
      </c>
      <c r="H11" s="148">
        <f>COUNTA(REQUISITOS!G28:G32)</f>
        <v>0</v>
      </c>
      <c r="I11" s="148">
        <f>SUM(C11:H11)</f>
        <v>0</v>
      </c>
      <c r="J11" s="3"/>
      <c r="K11" s="3"/>
      <c r="L11" s="7" t="str">
        <f>B27</f>
        <v>6. PLANIFICACIÓN</v>
      </c>
      <c r="M11" s="47">
        <f>B34</f>
        <v>0</v>
      </c>
      <c r="N11" s="51" t="str">
        <f t="shared" si="0"/>
        <v>INICIAL</v>
      </c>
      <c r="AC11" s="28"/>
    </row>
    <row r="12" spans="1:29" ht="15.75" customHeight="1" x14ac:dyDescent="0.3">
      <c r="A12" s="143"/>
      <c r="B12" s="149" t="s">
        <v>205</v>
      </c>
      <c r="C12" s="148">
        <f>COUNTA(REQUISITOS!B35:B37)</f>
        <v>0</v>
      </c>
      <c r="D12" s="148">
        <f>COUNTA(REQUISITOS!C35:C37)</f>
        <v>0</v>
      </c>
      <c r="E12" s="148">
        <f>COUNTA(REQUISITOS!D35:D37)</f>
        <v>0</v>
      </c>
      <c r="F12" s="148">
        <f>COUNTA(REQUISITOS!E35:E37)</f>
        <v>0</v>
      </c>
      <c r="G12" s="148">
        <f>COUNTA(REQUISITOS!F35:F37)</f>
        <v>0</v>
      </c>
      <c r="H12" s="148">
        <f>COUNTA(REQUISITOS!G35:G37)</f>
        <v>0</v>
      </c>
      <c r="I12" s="148">
        <f>SUM(C12:H12)</f>
        <v>0</v>
      </c>
      <c r="J12" s="3"/>
      <c r="K12" s="3"/>
      <c r="L12" s="7" t="str">
        <f>B36</f>
        <v>7. SOPORTE</v>
      </c>
      <c r="M12" s="47">
        <f>B45</f>
        <v>0</v>
      </c>
      <c r="N12" s="51" t="str">
        <f t="shared" si="0"/>
        <v>INICIAL</v>
      </c>
    </row>
    <row r="13" spans="1:29" ht="15.75" customHeight="1" x14ac:dyDescent="0.3">
      <c r="A13" s="143"/>
      <c r="B13" s="150" t="s">
        <v>199</v>
      </c>
      <c r="C13" s="151">
        <f t="shared" ref="C13:H13" si="1">SUM(C9:C12)</f>
        <v>0</v>
      </c>
      <c r="D13" s="151">
        <f t="shared" si="1"/>
        <v>0</v>
      </c>
      <c r="E13" s="151">
        <f t="shared" si="1"/>
        <v>0</v>
      </c>
      <c r="F13" s="151">
        <f t="shared" si="1"/>
        <v>0</v>
      </c>
      <c r="G13" s="151">
        <f t="shared" si="1"/>
        <v>0</v>
      </c>
      <c r="H13" s="151">
        <f t="shared" si="1"/>
        <v>0</v>
      </c>
      <c r="I13" s="152">
        <f>SUM(I9:I12)-H13</f>
        <v>0</v>
      </c>
      <c r="J13" s="3"/>
      <c r="K13" s="3"/>
      <c r="L13" s="7" t="s">
        <v>206</v>
      </c>
      <c r="M13" s="47">
        <f>B53</f>
        <v>0</v>
      </c>
      <c r="N13" s="51" t="str">
        <f t="shared" si="0"/>
        <v>INICIAL</v>
      </c>
    </row>
    <row r="14" spans="1:29" ht="15.75" customHeight="1" x14ac:dyDescent="0.3">
      <c r="A14" s="8"/>
      <c r="B14" s="181" t="s">
        <v>207</v>
      </c>
      <c r="C14" s="178"/>
      <c r="D14" s="178"/>
      <c r="E14" s="178"/>
      <c r="F14" s="178"/>
      <c r="G14" s="178"/>
      <c r="H14" s="178"/>
      <c r="I14" s="179"/>
      <c r="J14" s="3"/>
      <c r="K14" s="3"/>
      <c r="L14" s="7" t="str">
        <f>B55</f>
        <v>9. EVALUACIÓN DEL DESEMPEÑO</v>
      </c>
      <c r="M14" s="47">
        <f>B62</f>
        <v>0</v>
      </c>
      <c r="N14" s="51" t="str">
        <f t="shared" si="0"/>
        <v>INICIAL</v>
      </c>
    </row>
    <row r="15" spans="1:29" ht="15.75" customHeight="1" thickBot="1" x14ac:dyDescent="0.35">
      <c r="A15" s="143"/>
      <c r="B15" s="186">
        <f>IF(I13=0,0,((C13*C8)+(D13*D8)+(E13*E8)+(F13*F8)+(G13*G8))/I13)</f>
        <v>0</v>
      </c>
      <c r="C15" s="178"/>
      <c r="D15" s="178"/>
      <c r="E15" s="178"/>
      <c r="F15" s="178"/>
      <c r="G15" s="178"/>
      <c r="H15" s="178"/>
      <c r="I15" s="179"/>
      <c r="L15" s="10" t="str">
        <f>B64</f>
        <v>10. MEJORA</v>
      </c>
      <c r="M15" s="48">
        <f>B70</f>
        <v>0</v>
      </c>
      <c r="N15" s="52" t="str">
        <f t="shared" si="0"/>
        <v>INICIAL</v>
      </c>
    </row>
    <row r="16" spans="1:29" ht="15.75" customHeight="1" thickBot="1" x14ac:dyDescent="0.35">
      <c r="A16" s="143"/>
      <c r="L16" s="54" t="s">
        <v>208</v>
      </c>
      <c r="M16" s="53">
        <f>B77</f>
        <v>0</v>
      </c>
      <c r="N16" s="52" t="str">
        <f t="shared" si="0"/>
        <v>INICIAL</v>
      </c>
    </row>
    <row r="17" spans="1:13" ht="15.75" customHeight="1" thickBot="1" x14ac:dyDescent="0.35">
      <c r="A17" s="143"/>
      <c r="B17" s="11"/>
      <c r="C17" s="12"/>
      <c r="D17" s="3"/>
      <c r="E17" s="3"/>
      <c r="F17" s="3"/>
      <c r="G17" s="3"/>
      <c r="H17" s="3"/>
      <c r="L17" s="54" t="s">
        <v>209</v>
      </c>
      <c r="M17" s="65">
        <f>100%-M16</f>
        <v>1</v>
      </c>
    </row>
    <row r="18" spans="1:13" ht="15.75" customHeight="1" x14ac:dyDescent="0.3">
      <c r="A18" s="143"/>
      <c r="B18" s="177" t="s">
        <v>210</v>
      </c>
      <c r="C18" s="178"/>
      <c r="D18" s="178"/>
      <c r="E18" s="178"/>
      <c r="F18" s="178"/>
      <c r="G18" s="178"/>
      <c r="H18" s="178"/>
      <c r="I18" s="179"/>
    </row>
    <row r="19" spans="1:13" ht="15.75" customHeight="1" x14ac:dyDescent="0.3">
      <c r="A19" s="143"/>
      <c r="B19" s="153" t="s">
        <v>198</v>
      </c>
      <c r="C19" s="153">
        <v>0</v>
      </c>
      <c r="D19" s="153">
        <v>0.25</v>
      </c>
      <c r="E19" s="153">
        <v>0.5</v>
      </c>
      <c r="F19" s="153">
        <v>0.75</v>
      </c>
      <c r="G19" s="153">
        <v>1</v>
      </c>
      <c r="H19" s="154" t="s">
        <v>19</v>
      </c>
      <c r="I19" s="155" t="s">
        <v>199</v>
      </c>
    </row>
    <row r="20" spans="1:13" x14ac:dyDescent="0.3">
      <c r="A20" s="13"/>
      <c r="B20" s="149" t="s">
        <v>211</v>
      </c>
      <c r="C20" s="148">
        <f>COUNTIF(REQUISITOS!B41:B44,"X")</f>
        <v>0</v>
      </c>
      <c r="D20" s="148">
        <f>COUNTIF(REQUISITOS!C41:C44,"X")</f>
        <v>0</v>
      </c>
      <c r="E20" s="148">
        <f>COUNTIF(REQUISITOS!D41:D44,"X")</f>
        <v>0</v>
      </c>
      <c r="F20" s="148">
        <f>COUNTIF(REQUISITOS!E41:E44,"X")</f>
        <v>0</v>
      </c>
      <c r="G20" s="148">
        <f>COUNTIF(REQUISITOS!F41:F44,"X")</f>
        <v>0</v>
      </c>
      <c r="H20" s="148">
        <f>COUNTIF(REQUISITOS!G41:G44,"X")</f>
        <v>0</v>
      </c>
      <c r="I20" s="148">
        <f>SUM(C20:H20)</f>
        <v>0</v>
      </c>
      <c r="J20" s="14"/>
      <c r="K20" s="14"/>
    </row>
    <row r="21" spans="1:13" x14ac:dyDescent="0.3">
      <c r="A21" s="143"/>
      <c r="B21" s="149" t="s">
        <v>212</v>
      </c>
      <c r="C21" s="148">
        <f>COUNTIF(REQUISITOS!B47:B52,"X")</f>
        <v>0</v>
      </c>
      <c r="D21" s="148">
        <f>COUNTIF(REQUISITOS!C47:C52,"X")</f>
        <v>0</v>
      </c>
      <c r="E21" s="148">
        <f>COUNTIF(REQUISITOS!D47:D52,"X")</f>
        <v>0</v>
      </c>
      <c r="F21" s="148">
        <f>COUNTIF(REQUISITOS!E47:E52,"X")</f>
        <v>0</v>
      </c>
      <c r="G21" s="148">
        <f>COUNTIF(REQUISITOS!F47:F52,"X")</f>
        <v>0</v>
      </c>
      <c r="H21" s="148">
        <f>COUNTIF(REQUISITOS!G47:G52,"X")</f>
        <v>0</v>
      </c>
      <c r="I21" s="148">
        <f>SUM(C21:H21)</f>
        <v>0</v>
      </c>
    </row>
    <row r="22" spans="1:13" ht="15.75" customHeight="1" x14ac:dyDescent="0.3">
      <c r="A22" s="143"/>
      <c r="B22" s="149" t="s">
        <v>213</v>
      </c>
      <c r="C22" s="148">
        <f>COUNTIF(REQUISITOS!B55:B56,"X")</f>
        <v>0</v>
      </c>
      <c r="D22" s="148">
        <f>COUNTIF(REQUISITOS!C55:C56,"X")</f>
        <v>0</v>
      </c>
      <c r="E22" s="148">
        <f>COUNTIF(REQUISITOS!D55:D56,"X")</f>
        <v>0</v>
      </c>
      <c r="F22" s="148">
        <f>COUNTIF(REQUISITOS!E55:E56,"X")</f>
        <v>0</v>
      </c>
      <c r="G22" s="148">
        <f>COUNTIF(REQUISITOS!F55:F56,"X")</f>
        <v>0</v>
      </c>
      <c r="H22" s="148">
        <f>COUNTIF(REQUISITOS!G55:G56,"X")</f>
        <v>0</v>
      </c>
      <c r="I22" s="148">
        <f>SUM(C22:H22)</f>
        <v>0</v>
      </c>
    </row>
    <row r="23" spans="1:13" ht="15.75" customHeight="1" x14ac:dyDescent="0.3">
      <c r="A23" s="143"/>
      <c r="B23" s="150" t="s">
        <v>199</v>
      </c>
      <c r="C23" s="151">
        <f t="shared" ref="C23:H23" si="2">SUM(C20:C22)</f>
        <v>0</v>
      </c>
      <c r="D23" s="151">
        <f t="shared" si="2"/>
        <v>0</v>
      </c>
      <c r="E23" s="151">
        <f t="shared" si="2"/>
        <v>0</v>
      </c>
      <c r="F23" s="151">
        <f t="shared" si="2"/>
        <v>0</v>
      </c>
      <c r="G23" s="151">
        <f t="shared" si="2"/>
        <v>0</v>
      </c>
      <c r="H23" s="151">
        <f t="shared" si="2"/>
        <v>0</v>
      </c>
      <c r="I23" s="151">
        <f>SUM(I20:I22)-H23</f>
        <v>0</v>
      </c>
    </row>
    <row r="24" spans="1:13" ht="15.75" customHeight="1" x14ac:dyDescent="0.3">
      <c r="A24" s="143"/>
      <c r="B24" s="181" t="s">
        <v>207</v>
      </c>
      <c r="C24" s="178"/>
      <c r="D24" s="178"/>
      <c r="E24" s="178"/>
      <c r="F24" s="178"/>
      <c r="G24" s="178"/>
      <c r="H24" s="178"/>
      <c r="I24" s="179"/>
    </row>
    <row r="25" spans="1:13" ht="15.75" customHeight="1" x14ac:dyDescent="0.3">
      <c r="A25" s="13"/>
      <c r="B25" s="186">
        <f>IF(I23=0,0,(C23*C19+D23*D19+E23*E19+F23*F19+G23*G19)/I23)</f>
        <v>0</v>
      </c>
      <c r="C25" s="178"/>
      <c r="D25" s="178"/>
      <c r="E25" s="178"/>
      <c r="F25" s="178"/>
      <c r="G25" s="178"/>
      <c r="H25" s="178"/>
      <c r="I25" s="179"/>
    </row>
    <row r="26" spans="1:13" ht="15.75" customHeight="1" x14ac:dyDescent="0.3">
      <c r="A26" s="143"/>
      <c r="B26" s="15"/>
      <c r="C26" s="12"/>
      <c r="D26" s="3"/>
      <c r="E26" s="3"/>
      <c r="F26" s="3"/>
      <c r="G26" s="3"/>
      <c r="H26" s="3"/>
      <c r="M26" s="18"/>
    </row>
    <row r="27" spans="1:13" ht="15.75" customHeight="1" x14ac:dyDescent="0.3">
      <c r="A27" s="143"/>
      <c r="B27" s="177" t="s">
        <v>214</v>
      </c>
      <c r="C27" s="178"/>
      <c r="D27" s="178"/>
      <c r="E27" s="178"/>
      <c r="F27" s="178"/>
      <c r="G27" s="178"/>
      <c r="H27" s="178"/>
      <c r="I27" s="179"/>
    </row>
    <row r="28" spans="1:13" ht="15.75" customHeight="1" x14ac:dyDescent="0.3">
      <c r="A28" s="143"/>
      <c r="B28" s="153" t="s">
        <v>198</v>
      </c>
      <c r="C28" s="153">
        <v>0</v>
      </c>
      <c r="D28" s="153">
        <v>0.25</v>
      </c>
      <c r="E28" s="153">
        <v>0.5</v>
      </c>
      <c r="F28" s="153">
        <v>0.75</v>
      </c>
      <c r="G28" s="153">
        <v>1</v>
      </c>
      <c r="H28" s="154" t="s">
        <v>19</v>
      </c>
      <c r="I28" s="155" t="s">
        <v>199</v>
      </c>
    </row>
    <row r="29" spans="1:13" x14ac:dyDescent="0.3">
      <c r="A29" s="143"/>
      <c r="B29" s="147" t="s">
        <v>215</v>
      </c>
      <c r="C29" s="148">
        <f>COUNTIF(REQUISITOS!B60:B75,"X")</f>
        <v>0</v>
      </c>
      <c r="D29" s="148">
        <f>COUNTIF(REQUISITOS!C60:C75,"X")</f>
        <v>0</v>
      </c>
      <c r="E29" s="148">
        <f>COUNTIF(REQUISITOS!D60:D75,"X")</f>
        <v>0</v>
      </c>
      <c r="F29" s="148">
        <f>COUNTIF(REQUISITOS!E60:E75,"X")</f>
        <v>0</v>
      </c>
      <c r="G29" s="148">
        <f>COUNTIF(REQUISITOS!F60:F75,"X")</f>
        <v>0</v>
      </c>
      <c r="H29" s="148">
        <f>COUNTIF(REQUISITOS!G60:G75,"X")</f>
        <v>0</v>
      </c>
      <c r="I29" s="148">
        <f>SUM(C29:H29)</f>
        <v>0</v>
      </c>
    </row>
    <row r="30" spans="1:13" x14ac:dyDescent="0.3">
      <c r="A30" s="143"/>
      <c r="B30" s="149" t="s">
        <v>216</v>
      </c>
      <c r="C30" s="148">
        <f>COUNTIF(REQUISITOS!B78:B82,"X")</f>
        <v>0</v>
      </c>
      <c r="D30" s="148">
        <f>COUNTIF(REQUISITOS!C78:C82,"X")</f>
        <v>0</v>
      </c>
      <c r="E30" s="148">
        <f>COUNTIF(REQUISITOS!D78:D82,"X")</f>
        <v>0</v>
      </c>
      <c r="F30" s="148">
        <f>COUNTIF(REQUISITOS!E78:E82,"X")</f>
        <v>0</v>
      </c>
      <c r="G30" s="148">
        <f>COUNTIF(REQUISITOS!F78:F82,"X")</f>
        <v>0</v>
      </c>
      <c r="H30" s="148">
        <f>COUNTIF(REQUISITOS!G78:G82,"X")</f>
        <v>0</v>
      </c>
      <c r="I30" s="148">
        <f>SUM(C30:H30)</f>
        <v>0</v>
      </c>
    </row>
    <row r="31" spans="1:13" x14ac:dyDescent="0.3">
      <c r="A31" s="143"/>
      <c r="B31" s="157">
        <v>6.3</v>
      </c>
      <c r="C31" s="148">
        <f>COUNTIF(REQUISITOS!B85:B87,"X")</f>
        <v>0</v>
      </c>
      <c r="D31" s="148">
        <f>COUNTIF(REQUISITOS!C85:C87,"X")</f>
        <v>0</v>
      </c>
      <c r="E31" s="148">
        <f>COUNTIF(REQUISITOS!D85:D87,"X")</f>
        <v>0</v>
      </c>
      <c r="F31" s="148">
        <f>COUNTIF(REQUISITOS!E85:E87,"X")</f>
        <v>0</v>
      </c>
      <c r="G31" s="148">
        <f>COUNTIF(REQUISITOS!F85:F87,"X")</f>
        <v>0</v>
      </c>
      <c r="H31" s="148">
        <f>COUNTIF(REQUISITOS!G85:G87,"X")</f>
        <v>0</v>
      </c>
      <c r="I31" s="148">
        <f>SUM(C31:H31)</f>
        <v>0</v>
      </c>
    </row>
    <row r="32" spans="1:13" ht="15.75" customHeight="1" x14ac:dyDescent="0.3">
      <c r="A32" s="143"/>
      <c r="B32" s="150" t="s">
        <v>199</v>
      </c>
      <c r="C32" s="151">
        <f t="shared" ref="C32:H32" si="3">SUM(C29:C31)</f>
        <v>0</v>
      </c>
      <c r="D32" s="151">
        <f t="shared" si="3"/>
        <v>0</v>
      </c>
      <c r="E32" s="151">
        <f t="shared" si="3"/>
        <v>0</v>
      </c>
      <c r="F32" s="151">
        <f t="shared" si="3"/>
        <v>0</v>
      </c>
      <c r="G32" s="151">
        <f t="shared" si="3"/>
        <v>0</v>
      </c>
      <c r="H32" s="151">
        <f t="shared" si="3"/>
        <v>0</v>
      </c>
      <c r="I32" s="152">
        <f>SUM(I29:I31)-H32</f>
        <v>0</v>
      </c>
    </row>
    <row r="33" spans="1:14" ht="15.75" customHeight="1" x14ac:dyDescent="0.3">
      <c r="A33" s="143"/>
      <c r="B33" s="181" t="s">
        <v>207</v>
      </c>
      <c r="C33" s="178"/>
      <c r="D33" s="178"/>
      <c r="E33" s="178"/>
      <c r="F33" s="178"/>
      <c r="G33" s="178"/>
      <c r="H33" s="178"/>
      <c r="I33" s="179"/>
    </row>
    <row r="34" spans="1:14" ht="15.75" customHeight="1" x14ac:dyDescent="0.3">
      <c r="A34" s="143"/>
      <c r="B34" s="186">
        <f>IF(I32=0,0,(C32*C28+D32*D28+E32*E28+F32*F28+G32*G28)/I32)</f>
        <v>0</v>
      </c>
      <c r="C34" s="178"/>
      <c r="D34" s="178"/>
      <c r="E34" s="178"/>
      <c r="F34" s="178"/>
      <c r="G34" s="178"/>
      <c r="H34" s="178"/>
      <c r="I34" s="179"/>
    </row>
    <row r="35" spans="1:14" ht="16.5" customHeight="1" x14ac:dyDescent="0.3">
      <c r="A35" s="143"/>
      <c r="B35" s="16"/>
      <c r="C35" s="16"/>
    </row>
    <row r="36" spans="1:14" ht="15.75" customHeight="1" x14ac:dyDescent="0.3">
      <c r="A36" s="143"/>
      <c r="B36" s="177" t="s">
        <v>217</v>
      </c>
      <c r="C36" s="178"/>
      <c r="D36" s="178"/>
      <c r="E36" s="178"/>
      <c r="F36" s="178"/>
      <c r="G36" s="178"/>
      <c r="H36" s="178"/>
      <c r="I36" s="179"/>
    </row>
    <row r="37" spans="1:14" ht="15.75" customHeight="1" x14ac:dyDescent="0.3">
      <c r="A37" s="143"/>
      <c r="B37" s="153" t="s">
        <v>198</v>
      </c>
      <c r="C37" s="153">
        <v>0</v>
      </c>
      <c r="D37" s="153">
        <v>0.25</v>
      </c>
      <c r="E37" s="153">
        <v>0.5</v>
      </c>
      <c r="F37" s="153">
        <v>0.75</v>
      </c>
      <c r="G37" s="153">
        <v>1</v>
      </c>
      <c r="H37" s="154" t="s">
        <v>19</v>
      </c>
      <c r="I37" s="155" t="s">
        <v>199</v>
      </c>
    </row>
    <row r="38" spans="1:14" ht="15.75" customHeight="1" x14ac:dyDescent="0.3">
      <c r="A38" s="143"/>
      <c r="B38" s="147" t="s">
        <v>218</v>
      </c>
      <c r="C38" s="148">
        <f>COUNTIF(REQUISITOS!B91,"X")</f>
        <v>0</v>
      </c>
      <c r="D38" s="148">
        <f>COUNTIF(REQUISITOS!C91,"X")</f>
        <v>0</v>
      </c>
      <c r="E38" s="148">
        <f>COUNTIF(REQUISITOS!D91,"X")</f>
        <v>0</v>
      </c>
      <c r="F38" s="148">
        <f>COUNTIF(REQUISITOS!E91,"X")</f>
        <v>0</v>
      </c>
      <c r="G38" s="148">
        <f>COUNTIF(REQUISITOS!F91,"X")</f>
        <v>0</v>
      </c>
      <c r="H38" s="148">
        <f>COUNTIF(REQUISITOS!G91,"X")</f>
        <v>0</v>
      </c>
      <c r="I38" s="148">
        <f>SUM(C38:H38)</f>
        <v>0</v>
      </c>
    </row>
    <row r="39" spans="1:14" x14ac:dyDescent="0.3">
      <c r="A39" s="143"/>
      <c r="B39" s="149" t="s">
        <v>219</v>
      </c>
      <c r="C39" s="148">
        <f>COUNTIF(REQUISITOS!B94:B97,"X")</f>
        <v>0</v>
      </c>
      <c r="D39" s="148">
        <f>COUNTIF(REQUISITOS!C94:C97,"X")</f>
        <v>0</v>
      </c>
      <c r="E39" s="148">
        <f>COUNTIF(REQUISITOS!D94:D97,"X")</f>
        <v>0</v>
      </c>
      <c r="F39" s="148">
        <f>COUNTIF(REQUISITOS!E94:E97,"X")</f>
        <v>0</v>
      </c>
      <c r="G39" s="148">
        <f>COUNTIF(REQUISITOS!F94:F97,"X")</f>
        <v>0</v>
      </c>
      <c r="H39" s="148">
        <f>COUNTIF(REQUISITOS!G94:G97,"X")</f>
        <v>0</v>
      </c>
      <c r="I39" s="148">
        <f>SUM(C39:H39)</f>
        <v>0</v>
      </c>
      <c r="N39" s="25"/>
    </row>
    <row r="40" spans="1:14" x14ac:dyDescent="0.3">
      <c r="A40" s="143"/>
      <c r="B40" s="149" t="s">
        <v>220</v>
      </c>
      <c r="C40" s="148">
        <f>COUNTIF(REQUISITOS!B100:B102,"X")</f>
        <v>0</v>
      </c>
      <c r="D40" s="148">
        <f>COUNTIF(REQUISITOS!C100:C102,"X")</f>
        <v>0</v>
      </c>
      <c r="E40" s="148">
        <f>COUNTIF(REQUISITOS!D100:D102,"X")</f>
        <v>0</v>
      </c>
      <c r="F40" s="148">
        <f>COUNTIF(REQUISITOS!E100:E102,"X")</f>
        <v>0</v>
      </c>
      <c r="G40" s="148">
        <f>COUNTIF(REQUISITOS!F100:F102,"X")</f>
        <v>0</v>
      </c>
      <c r="H40" s="148">
        <f>COUNTIF(REQUISITOS!G100:G102,"X")</f>
        <v>0</v>
      </c>
      <c r="I40" s="148">
        <f>SUM(C40:H40)</f>
        <v>0</v>
      </c>
    </row>
    <row r="41" spans="1:14" ht="15.75" customHeight="1" x14ac:dyDescent="0.3">
      <c r="A41" s="143"/>
      <c r="B41" s="149" t="s">
        <v>221</v>
      </c>
      <c r="C41" s="148">
        <f>COUNTIF(REQUISITOS!B105:B111,"X")</f>
        <v>0</v>
      </c>
      <c r="D41" s="148">
        <f>COUNTIF(REQUISITOS!C105:C111,"X")</f>
        <v>0</v>
      </c>
      <c r="E41" s="148">
        <f>COUNTIF(REQUISITOS!D105:D111,"X")</f>
        <v>0</v>
      </c>
      <c r="F41" s="148">
        <f>COUNTIF(REQUISITOS!E105:E111,"X")</f>
        <v>0</v>
      </c>
      <c r="G41" s="148">
        <f>COUNTIF(REQUISITOS!F105:F111,"X")</f>
        <v>0</v>
      </c>
      <c r="H41" s="148">
        <f>COUNTIF(REQUISITOS!G105:G111,"X")</f>
        <v>0</v>
      </c>
      <c r="I41" s="148">
        <f>SUM(C41:H41)</f>
        <v>0</v>
      </c>
      <c r="N41" s="25"/>
    </row>
    <row r="42" spans="1:14" ht="15.75" customHeight="1" x14ac:dyDescent="0.3">
      <c r="A42" s="13"/>
      <c r="B42" s="149" t="s">
        <v>222</v>
      </c>
      <c r="C42" s="148">
        <f>COUNTIF(REQUISITOS!B114:B120,"X")</f>
        <v>0</v>
      </c>
      <c r="D42" s="148">
        <f>COUNTIF(REQUISITOS!C114:C120,"X")</f>
        <v>0</v>
      </c>
      <c r="E42" s="148">
        <f>COUNTIF(REQUISITOS!D114:D120,"X")</f>
        <v>0</v>
      </c>
      <c r="F42" s="148">
        <f>COUNTIF(REQUISITOS!E114:E120,"X")</f>
        <v>0</v>
      </c>
      <c r="G42" s="148">
        <f>COUNTIF(REQUISITOS!F114:F120,"X")</f>
        <v>0</v>
      </c>
      <c r="H42" s="148">
        <f>COUNTIF(REQUISITOS!G114:G120,"X")</f>
        <v>0</v>
      </c>
      <c r="I42" s="148">
        <f>SUM(C42:H42)</f>
        <v>0</v>
      </c>
    </row>
    <row r="43" spans="1:14" ht="15.75" customHeight="1" x14ac:dyDescent="0.3">
      <c r="A43" s="143"/>
      <c r="B43" s="150" t="s">
        <v>199</v>
      </c>
      <c r="C43" s="151">
        <f t="shared" ref="C43:H43" si="4">SUM(C38:C42)</f>
        <v>0</v>
      </c>
      <c r="D43" s="152">
        <f t="shared" si="4"/>
        <v>0</v>
      </c>
      <c r="E43" s="152">
        <f t="shared" si="4"/>
        <v>0</v>
      </c>
      <c r="F43" s="152">
        <f t="shared" si="4"/>
        <v>0</v>
      </c>
      <c r="G43" s="152">
        <f t="shared" si="4"/>
        <v>0</v>
      </c>
      <c r="H43" s="152">
        <f t="shared" si="4"/>
        <v>0</v>
      </c>
      <c r="I43" s="152">
        <f>SUM(I38:I42)-H43</f>
        <v>0</v>
      </c>
      <c r="J43" s="3"/>
      <c r="K43" s="3"/>
    </row>
    <row r="44" spans="1:14" ht="15.75" customHeight="1" x14ac:dyDescent="0.3">
      <c r="A44" s="143"/>
      <c r="B44" s="181" t="s">
        <v>207</v>
      </c>
      <c r="C44" s="178"/>
      <c r="D44" s="178"/>
      <c r="E44" s="178"/>
      <c r="F44" s="178"/>
      <c r="G44" s="178"/>
      <c r="H44" s="178"/>
      <c r="I44" s="179"/>
    </row>
    <row r="45" spans="1:14" ht="15.75" customHeight="1" x14ac:dyDescent="0.3">
      <c r="A45" s="143"/>
      <c r="B45" s="186">
        <f>IF(I43=0,0,(C43*C37+D43*D37+E43*E37+F43*F37+G43*G37)/I43)</f>
        <v>0</v>
      </c>
      <c r="C45" s="178"/>
      <c r="D45" s="178"/>
      <c r="E45" s="178"/>
      <c r="F45" s="178"/>
      <c r="G45" s="178"/>
      <c r="H45" s="178"/>
      <c r="I45" s="179"/>
    </row>
    <row r="46" spans="1:14" ht="16.5" customHeight="1" x14ac:dyDescent="0.3">
      <c r="A46" s="143"/>
      <c r="B46" s="16"/>
      <c r="C46" s="16"/>
    </row>
    <row r="47" spans="1:14" ht="15.75" customHeight="1" x14ac:dyDescent="0.3">
      <c r="A47" s="143"/>
      <c r="B47" s="177" t="s">
        <v>206</v>
      </c>
      <c r="C47" s="178"/>
      <c r="D47" s="178"/>
      <c r="E47" s="178"/>
      <c r="F47" s="178"/>
      <c r="G47" s="178"/>
      <c r="H47" s="178"/>
      <c r="I47" s="179"/>
    </row>
    <row r="48" spans="1:14" ht="15.75" customHeight="1" x14ac:dyDescent="0.3">
      <c r="A48" s="143"/>
      <c r="B48" s="153" t="s">
        <v>198</v>
      </c>
      <c r="C48" s="153">
        <v>0</v>
      </c>
      <c r="D48" s="153">
        <v>0.25</v>
      </c>
      <c r="E48" s="153">
        <v>0.5</v>
      </c>
      <c r="F48" s="153">
        <v>0.75</v>
      </c>
      <c r="G48" s="153">
        <v>1</v>
      </c>
      <c r="H48" s="154" t="s">
        <v>19</v>
      </c>
      <c r="I48" s="155" t="s">
        <v>199</v>
      </c>
    </row>
    <row r="49" spans="2:29" x14ac:dyDescent="0.3">
      <c r="B49" s="147" t="s">
        <v>223</v>
      </c>
      <c r="C49" s="148">
        <f>COUNTIF(REQUISITOS!B124:B130,"X")</f>
        <v>0</v>
      </c>
      <c r="D49" s="148">
        <f>COUNTIF(REQUISITOS!C124:C130,"X")</f>
        <v>0</v>
      </c>
      <c r="E49" s="148">
        <f>COUNTIF(REQUISITOS!D124:D130,"X")</f>
        <v>0</v>
      </c>
      <c r="F49" s="148">
        <f>COUNTIF(REQUISITOS!E124:E130,"X")</f>
        <v>0</v>
      </c>
      <c r="G49" s="148">
        <f>COUNTIF(REQUISITOS!F124:F130,"X")</f>
        <v>0</v>
      </c>
      <c r="H49" s="148">
        <f>COUNTIF(REQUISITOS!G124:G130,"X")</f>
        <v>0</v>
      </c>
      <c r="I49" s="156">
        <f>SUM(C49:H49)</f>
        <v>0</v>
      </c>
    </row>
    <row r="50" spans="2:29" ht="15.75" customHeight="1" x14ac:dyDescent="0.3">
      <c r="B50" s="149" t="s">
        <v>224</v>
      </c>
      <c r="C50" s="148">
        <f>COUNTIF(REQUISITOS!B133:B137,"X")</f>
        <v>0</v>
      </c>
      <c r="D50" s="148">
        <f>COUNTIF(REQUISITOS!C133:C137,"X")</f>
        <v>0</v>
      </c>
      <c r="E50" s="148">
        <f>COUNTIF(REQUISITOS!D133:D137,"X")</f>
        <v>0</v>
      </c>
      <c r="F50" s="148">
        <f>COUNTIF(REQUISITOS!E133:E137,"X")</f>
        <v>0</v>
      </c>
      <c r="G50" s="148">
        <f>COUNTIF(REQUISITOS!F133:F137,"X")</f>
        <v>0</v>
      </c>
      <c r="H50" s="148">
        <f>COUNTIF(REQUISITOS!G133:G137,"X")</f>
        <v>0</v>
      </c>
      <c r="I50" s="156">
        <f>SUM(C50:H50)</f>
        <v>0</v>
      </c>
    </row>
    <row r="51" spans="2:29" ht="15.75" customHeight="1" x14ac:dyDescent="0.3">
      <c r="B51" s="150" t="s">
        <v>199</v>
      </c>
      <c r="C51" s="151">
        <f t="shared" ref="C51:H51" si="5">SUM(C49:C50)</f>
        <v>0</v>
      </c>
      <c r="D51" s="151">
        <f t="shared" si="5"/>
        <v>0</v>
      </c>
      <c r="E51" s="151">
        <f t="shared" si="5"/>
        <v>0</v>
      </c>
      <c r="F51" s="151">
        <f t="shared" si="5"/>
        <v>0</v>
      </c>
      <c r="G51" s="151">
        <f t="shared" si="5"/>
        <v>0</v>
      </c>
      <c r="H51" s="151">
        <f t="shared" si="5"/>
        <v>0</v>
      </c>
      <c r="I51" s="152">
        <f>SUM(I49:I50)-H51</f>
        <v>0</v>
      </c>
    </row>
    <row r="52" spans="2:29" ht="15.75" customHeight="1" x14ac:dyDescent="0.3">
      <c r="B52" s="181" t="s">
        <v>207</v>
      </c>
      <c r="C52" s="178"/>
      <c r="D52" s="178"/>
      <c r="E52" s="178"/>
      <c r="F52" s="178"/>
      <c r="G52" s="178"/>
      <c r="H52" s="178"/>
      <c r="I52" s="179"/>
      <c r="J52" s="3"/>
      <c r="K52" s="3"/>
    </row>
    <row r="53" spans="2:29" ht="15.75" customHeight="1" x14ac:dyDescent="0.3">
      <c r="B53" s="186">
        <f>IF(I51=0,0,(C51*C48+D51*D48+E51*E48+F51*F48+G51*G48)/I51)</f>
        <v>0</v>
      </c>
      <c r="C53" s="178"/>
      <c r="D53" s="178"/>
      <c r="E53" s="178"/>
      <c r="F53" s="178"/>
      <c r="G53" s="178"/>
      <c r="H53" s="178"/>
      <c r="I53" s="179"/>
    </row>
    <row r="54" spans="2:29" ht="15.75" customHeight="1" x14ac:dyDescent="0.3"/>
    <row r="55" spans="2:29" ht="15.75" customHeight="1" thickBot="1" x14ac:dyDescent="0.35">
      <c r="B55" s="177" t="s">
        <v>225</v>
      </c>
      <c r="C55" s="178"/>
      <c r="D55" s="178"/>
      <c r="E55" s="178"/>
      <c r="F55" s="178"/>
      <c r="G55" s="178"/>
      <c r="H55" s="178"/>
      <c r="I55" s="179"/>
      <c r="J55" s="3"/>
      <c r="K55" s="3"/>
    </row>
    <row r="56" spans="2:29" ht="19.5" customHeight="1" thickBot="1" x14ac:dyDescent="0.4">
      <c r="B56" s="153" t="s">
        <v>198</v>
      </c>
      <c r="C56" s="153">
        <v>0</v>
      </c>
      <c r="D56" s="153">
        <v>0.25</v>
      </c>
      <c r="E56" s="153">
        <v>0.5</v>
      </c>
      <c r="F56" s="153">
        <v>0.75</v>
      </c>
      <c r="G56" s="153">
        <v>1</v>
      </c>
      <c r="H56" s="154" t="s">
        <v>19</v>
      </c>
      <c r="I56" s="155" t="s">
        <v>199</v>
      </c>
      <c r="L56" s="187" t="s">
        <v>226</v>
      </c>
      <c r="M56" s="184"/>
      <c r="N56" s="185"/>
      <c r="O56" s="67"/>
    </row>
    <row r="57" spans="2:29" ht="21" customHeight="1" thickBot="1" x14ac:dyDescent="0.35">
      <c r="B57" s="147" t="s">
        <v>227</v>
      </c>
      <c r="C57" s="148">
        <f>COUNTIF(REQUISITOS!B142:B152,"X")</f>
        <v>0</v>
      </c>
      <c r="D57" s="148">
        <f>COUNTIF(REQUISITOS!C142:C152,"X")</f>
        <v>0</v>
      </c>
      <c r="E57" s="148">
        <f>COUNTIF(REQUISITOS!D142:D152,"X")</f>
        <v>0</v>
      </c>
      <c r="F57" s="148">
        <f>COUNTIF(REQUISITOS!E142:E152,"X")</f>
        <v>0</v>
      </c>
      <c r="G57" s="148">
        <f>COUNTIF(REQUISITOS!F142:F152,"X")</f>
        <v>0</v>
      </c>
      <c r="H57" s="148">
        <f>COUNTIF(REQUISITOS!G142:G152,"X")</f>
        <v>0</v>
      </c>
      <c r="I57" s="156">
        <f>SUM(C57:H57)</f>
        <v>0</v>
      </c>
      <c r="L57" s="190" t="str">
        <f>CONCATENATE(AC58,TEXT(M16,"0.00%"),AC59,TEXT(N16,""),AC60,TEXT(M17,"0.00%"),AC61)</f>
        <v>Según el diagnóstico realizado y análisis de la situación actual de la empresa conforme a los requisitos de la norma ISO 14001:2015 se ha obtenido los siguientes resultados: La tabla "TOTAL DE IMPLEMENTACIÓN SGA" muestra que se ha obtenido un porcentaje de implementación de  0.00% encontrándose en un nivel de implementación INICIAL con respecto a los "DEBES" que la norma contempla en su totalidad dentro de cada uno de sus requisitos, asi mismo la imagen "PORCENTAJE DE IMPLEMENTACIÓN DEL SGAS" muestra que existe una brecha de implementación de 100.00% para el cumplimiento del 100% de la norma.</v>
      </c>
      <c r="M57" s="172"/>
      <c r="N57" s="173"/>
      <c r="O57" s="66"/>
    </row>
    <row r="58" spans="2:29" ht="15" customHeight="1" x14ac:dyDescent="0.3">
      <c r="B58" s="149" t="s">
        <v>228</v>
      </c>
      <c r="C58" s="148">
        <f>COUNTIF(REQUISITOS!B156:B164,"X")</f>
        <v>0</v>
      </c>
      <c r="D58" s="148">
        <f>COUNTIF(REQUISITOS!C156:C164,"X")</f>
        <v>0</v>
      </c>
      <c r="E58" s="148">
        <f>COUNTIF(REQUISITOS!D156:D164,"X")</f>
        <v>0</v>
      </c>
      <c r="F58" s="148">
        <f>COUNTIF(REQUISITOS!E156:E164,"X")</f>
        <v>0</v>
      </c>
      <c r="G58" s="148">
        <f>COUNTIF(REQUISITOS!F156:F164,"X")</f>
        <v>0</v>
      </c>
      <c r="H58" s="148">
        <f>COUNTIF(REQUISITOS!G156:G164,"X")</f>
        <v>0</v>
      </c>
      <c r="I58" s="156">
        <f>SUM(C58:H58)</f>
        <v>0</v>
      </c>
      <c r="L58" s="191"/>
      <c r="M58" s="192"/>
      <c r="N58" s="193"/>
      <c r="O58" s="66"/>
      <c r="AC58" s="141" t="s">
        <v>229</v>
      </c>
    </row>
    <row r="59" spans="2:29" ht="15.75" customHeight="1" x14ac:dyDescent="0.3">
      <c r="B59" s="149" t="s">
        <v>230</v>
      </c>
      <c r="C59" s="148">
        <f>COUNTIF(REQUISITOS!B168:B180,"X")</f>
        <v>0</v>
      </c>
      <c r="D59" s="148">
        <f>COUNTIF(REQUISITOS!C168:C180,"X")</f>
        <v>0</v>
      </c>
      <c r="E59" s="148">
        <f>COUNTIF(REQUISITOS!D168:D180,"X")</f>
        <v>0</v>
      </c>
      <c r="F59" s="148">
        <f>COUNTIF(REQUISITOS!E168:E180,"X")</f>
        <v>0</v>
      </c>
      <c r="G59" s="148">
        <f>COUNTIF(REQUISITOS!F168:F180,"X")</f>
        <v>0</v>
      </c>
      <c r="H59" s="148">
        <f>COUNTIF(REQUISITOS!G168:G180,"X")</f>
        <v>0</v>
      </c>
      <c r="I59" s="156">
        <f>SUM(C59:H59)</f>
        <v>0</v>
      </c>
      <c r="L59" s="191"/>
      <c r="M59" s="192"/>
      <c r="N59" s="193"/>
      <c r="O59" s="66"/>
      <c r="AC59" s="141" t="s">
        <v>231</v>
      </c>
    </row>
    <row r="60" spans="2:29" ht="15.75" customHeight="1" x14ac:dyDescent="0.3">
      <c r="B60" s="150" t="s">
        <v>199</v>
      </c>
      <c r="C60" s="151">
        <f t="shared" ref="C60:H60" si="6">SUM(C57:C59)</f>
        <v>0</v>
      </c>
      <c r="D60" s="151">
        <f t="shared" si="6"/>
        <v>0</v>
      </c>
      <c r="E60" s="151">
        <f t="shared" si="6"/>
        <v>0</v>
      </c>
      <c r="F60" s="151">
        <f t="shared" si="6"/>
        <v>0</v>
      </c>
      <c r="G60" s="151">
        <f t="shared" si="6"/>
        <v>0</v>
      </c>
      <c r="H60" s="151">
        <f t="shared" si="6"/>
        <v>0</v>
      </c>
      <c r="I60" s="152">
        <f>SUM(I57:I59)-H60</f>
        <v>0</v>
      </c>
      <c r="L60" s="191"/>
      <c r="M60" s="192"/>
      <c r="N60" s="193"/>
      <c r="O60" s="66"/>
      <c r="AC60" s="141" t="s">
        <v>232</v>
      </c>
    </row>
    <row r="61" spans="2:29" ht="15.75" customHeight="1" x14ac:dyDescent="0.3">
      <c r="B61" s="181" t="s">
        <v>207</v>
      </c>
      <c r="C61" s="178"/>
      <c r="D61" s="178"/>
      <c r="E61" s="178"/>
      <c r="F61" s="178"/>
      <c r="G61" s="178"/>
      <c r="H61" s="178"/>
      <c r="I61" s="179"/>
      <c r="L61" s="191"/>
      <c r="M61" s="192"/>
      <c r="N61" s="193"/>
      <c r="O61" s="66"/>
      <c r="AC61" s="141" t="s">
        <v>233</v>
      </c>
    </row>
    <row r="62" spans="2:29" ht="15.75" customHeight="1" x14ac:dyDescent="0.3">
      <c r="B62" s="186">
        <f>IF(I60=0,0,(C60*C56+D60*D56+E60*E56+F60*F56+G60*G56)/I60)</f>
        <v>0</v>
      </c>
      <c r="C62" s="178"/>
      <c r="D62" s="178"/>
      <c r="E62" s="178"/>
      <c r="F62" s="178"/>
      <c r="G62" s="178"/>
      <c r="H62" s="178"/>
      <c r="I62" s="179"/>
      <c r="L62" s="191"/>
      <c r="M62" s="192"/>
      <c r="N62" s="193"/>
      <c r="O62" s="66"/>
    </row>
    <row r="63" spans="2:29" ht="15.75" customHeight="1" thickBot="1" x14ac:dyDescent="0.35">
      <c r="L63" s="191"/>
      <c r="M63" s="192"/>
      <c r="N63" s="193"/>
      <c r="O63" s="66"/>
    </row>
    <row r="64" spans="2:29" ht="15.75" customHeight="1" thickBot="1" x14ac:dyDescent="0.35">
      <c r="B64" s="188" t="s">
        <v>234</v>
      </c>
      <c r="C64" s="184"/>
      <c r="D64" s="184"/>
      <c r="E64" s="184"/>
      <c r="F64" s="184"/>
      <c r="G64" s="184"/>
      <c r="H64" s="184"/>
      <c r="I64" s="185"/>
      <c r="L64" s="191"/>
      <c r="M64" s="192"/>
      <c r="N64" s="193"/>
    </row>
    <row r="65" spans="2:29" ht="15.75" customHeight="1" thickBot="1" x14ac:dyDescent="0.35">
      <c r="B65" s="57" t="s">
        <v>198</v>
      </c>
      <c r="C65" s="57">
        <v>0</v>
      </c>
      <c r="D65" s="57">
        <v>0.25</v>
      </c>
      <c r="E65" s="119">
        <v>0.5</v>
      </c>
      <c r="F65" s="119">
        <v>0.75</v>
      </c>
      <c r="G65" s="119">
        <v>1</v>
      </c>
      <c r="H65" s="58" t="s">
        <v>19</v>
      </c>
      <c r="I65" s="101" t="s">
        <v>199</v>
      </c>
      <c r="L65" s="174"/>
      <c r="M65" s="175"/>
      <c r="N65" s="176"/>
      <c r="AC65" s="26"/>
    </row>
    <row r="66" spans="2:29" ht="15" customHeight="1" x14ac:dyDescent="0.3">
      <c r="B66" s="20" t="s">
        <v>235</v>
      </c>
      <c r="C66" s="115">
        <f>COUNTIF(REQUISITOS!B184:B185,"X")</f>
        <v>0</v>
      </c>
      <c r="D66" s="115">
        <f>COUNTIF(REQUISITOS!C184:C185,"X")</f>
        <v>0</v>
      </c>
      <c r="E66" s="115">
        <f>COUNTIF(REQUISITOS!D184:D185,"X")</f>
        <v>0</v>
      </c>
      <c r="F66" s="115">
        <f>COUNTIF(REQUISITOS!E184:E185,"X")</f>
        <v>0</v>
      </c>
      <c r="G66" s="115">
        <f>COUNTIF(REQUISITOS!F184:F185,"X")</f>
        <v>0</v>
      </c>
      <c r="H66" s="115">
        <f>COUNTIF(REQUISITOS!G184:G185,"X")</f>
        <v>0</v>
      </c>
      <c r="I66" s="117">
        <f>SUM(C66:H66)</f>
        <v>0</v>
      </c>
    </row>
    <row r="67" spans="2:29" ht="15" customHeight="1" thickBot="1" x14ac:dyDescent="0.35">
      <c r="B67" s="19" t="s">
        <v>236</v>
      </c>
      <c r="C67" s="116">
        <f>COUNTIF(REQUISITOS!B188:B193,"X")</f>
        <v>0</v>
      </c>
      <c r="D67" s="116">
        <f>COUNTIF(REQUISITOS!C188:C193,"X")</f>
        <v>0</v>
      </c>
      <c r="E67" s="116">
        <f>COUNTIF(REQUISITOS!D188:D193,"X")</f>
        <v>0</v>
      </c>
      <c r="F67" s="116">
        <f>COUNTIF(REQUISITOS!E188:E193,"X")</f>
        <v>0</v>
      </c>
      <c r="G67" s="116">
        <f>COUNTIF(REQUISITOS!F188:F193,"X")</f>
        <v>0</v>
      </c>
      <c r="H67" s="116">
        <f>COUNTIF(REQUISITOS!G188:G193,"X")</f>
        <v>0</v>
      </c>
      <c r="I67" s="118">
        <f>SUM(C67:H67)</f>
        <v>0</v>
      </c>
      <c r="L67" s="66"/>
      <c r="M67" s="66"/>
      <c r="N67" s="66"/>
    </row>
    <row r="68" spans="2:29" ht="15.75" customHeight="1" thickBot="1" x14ac:dyDescent="0.35">
      <c r="B68" s="60" t="s">
        <v>199</v>
      </c>
      <c r="C68" s="61">
        <f t="shared" ref="C68:H68" si="7">SUM(C66:C67)</f>
        <v>0</v>
      </c>
      <c r="D68" s="61">
        <f t="shared" si="7"/>
        <v>0</v>
      </c>
      <c r="E68" s="61">
        <f t="shared" si="7"/>
        <v>0</v>
      </c>
      <c r="F68" s="61">
        <f t="shared" si="7"/>
        <v>0</v>
      </c>
      <c r="G68" s="61">
        <f t="shared" si="7"/>
        <v>0</v>
      </c>
      <c r="H68" s="61">
        <f t="shared" si="7"/>
        <v>0</v>
      </c>
      <c r="I68" s="62">
        <f>SUM(I66:I67)-H68</f>
        <v>0</v>
      </c>
      <c r="L68" s="66"/>
      <c r="M68" s="66"/>
      <c r="N68" s="66"/>
    </row>
    <row r="69" spans="2:29" ht="15.75" customHeight="1" thickBot="1" x14ac:dyDescent="0.35">
      <c r="B69" s="189" t="s">
        <v>207</v>
      </c>
      <c r="C69" s="184"/>
      <c r="D69" s="184"/>
      <c r="E69" s="184"/>
      <c r="F69" s="184"/>
      <c r="G69" s="184"/>
      <c r="H69" s="184"/>
      <c r="I69" s="185"/>
      <c r="L69" s="66"/>
      <c r="M69" s="66"/>
      <c r="N69" s="66"/>
    </row>
    <row r="70" spans="2:29" ht="15.75" customHeight="1" thickBot="1" x14ac:dyDescent="0.35">
      <c r="B70" s="194">
        <f>IF(I68=0,0,(C68*C65+D68*D65+E68*E65+F68*F65+G68*G65)/I68)</f>
        <v>0</v>
      </c>
      <c r="C70" s="184"/>
      <c r="D70" s="184"/>
      <c r="E70" s="184"/>
      <c r="F70" s="184"/>
      <c r="G70" s="184"/>
      <c r="H70" s="184"/>
      <c r="I70" s="185"/>
      <c r="L70" s="66"/>
      <c r="M70" s="66"/>
      <c r="N70" s="66"/>
    </row>
    <row r="71" spans="2:29" ht="15" customHeight="1" x14ac:dyDescent="0.3">
      <c r="L71" s="66"/>
      <c r="M71" s="66"/>
      <c r="N71" s="66"/>
    </row>
    <row r="72" spans="2:29" ht="15.75" customHeight="1" thickBot="1" x14ac:dyDescent="0.35">
      <c r="L72" s="66"/>
      <c r="M72" s="66"/>
      <c r="N72" s="66"/>
    </row>
    <row r="73" spans="2:29" ht="15.75" customHeight="1" thickBot="1" x14ac:dyDescent="0.35">
      <c r="B73" s="188" t="s">
        <v>237</v>
      </c>
      <c r="C73" s="184"/>
      <c r="D73" s="184"/>
      <c r="E73" s="184"/>
      <c r="F73" s="184"/>
      <c r="G73" s="184"/>
      <c r="H73" s="184"/>
      <c r="I73" s="185"/>
    </row>
    <row r="74" spans="2:29" s="27" customFormat="1" ht="16.5" customHeight="1" thickBot="1" x14ac:dyDescent="0.35">
      <c r="B74" s="6" t="s">
        <v>238</v>
      </c>
      <c r="C74" s="17">
        <v>0</v>
      </c>
      <c r="D74" s="17">
        <v>0.25</v>
      </c>
      <c r="E74" s="17">
        <v>0.5</v>
      </c>
      <c r="F74" s="17">
        <v>0.75</v>
      </c>
      <c r="G74" s="17">
        <v>1</v>
      </c>
      <c r="H74" s="6" t="s">
        <v>19</v>
      </c>
      <c r="I74" s="6" t="s">
        <v>239</v>
      </c>
      <c r="M74" s="141"/>
    </row>
    <row r="75" spans="2:29" ht="15.75" customHeight="1" thickBot="1" x14ac:dyDescent="0.35">
      <c r="B75" s="122" t="s">
        <v>240</v>
      </c>
      <c r="C75" s="121">
        <f t="shared" ref="C75:H75" si="8">SUM(C13,C23,C32,C43,C51,C60,C68)</f>
        <v>0</v>
      </c>
      <c r="D75" s="120">
        <f t="shared" si="8"/>
        <v>0</v>
      </c>
      <c r="E75" s="120">
        <f t="shared" si="8"/>
        <v>0</v>
      </c>
      <c r="F75" s="121">
        <f t="shared" si="8"/>
        <v>0</v>
      </c>
      <c r="G75" s="120">
        <f t="shared" si="8"/>
        <v>0</v>
      </c>
      <c r="H75" s="120">
        <f t="shared" si="8"/>
        <v>0</v>
      </c>
      <c r="I75" s="120">
        <f>SUM(C75:G75)</f>
        <v>0</v>
      </c>
    </row>
    <row r="76" spans="2:29" ht="15.75" customHeight="1" thickBot="1" x14ac:dyDescent="0.35">
      <c r="B76" s="189" t="s">
        <v>207</v>
      </c>
      <c r="C76" s="184"/>
      <c r="D76" s="184"/>
      <c r="E76" s="184"/>
      <c r="F76" s="184"/>
      <c r="G76" s="184"/>
      <c r="H76" s="184"/>
      <c r="I76" s="185"/>
    </row>
    <row r="77" spans="2:29" ht="15.75" customHeight="1" thickBot="1" x14ac:dyDescent="0.35">
      <c r="B77" s="194">
        <f>IF(I75=0,0,(C75*C74+D75*D74+E75*E74+F75*F74+G75*G74)/I75)</f>
        <v>0</v>
      </c>
      <c r="C77" s="184"/>
      <c r="D77" s="184"/>
      <c r="E77" s="184"/>
      <c r="F77" s="184"/>
      <c r="G77" s="184"/>
      <c r="H77" s="184"/>
      <c r="I77" s="185"/>
      <c r="L77" s="27"/>
      <c r="M77" s="27"/>
    </row>
    <row r="78" spans="2:29" x14ac:dyDescent="0.3">
      <c r="D78" s="18"/>
      <c r="E78" s="21"/>
    </row>
  </sheetData>
  <mergeCells count="30">
    <mergeCell ref="B76:I76"/>
    <mergeCell ref="B45:I45"/>
    <mergeCell ref="B70:I70"/>
    <mergeCell ref="B77:I77"/>
    <mergeCell ref="B14:I14"/>
    <mergeCell ref="B61:I61"/>
    <mergeCell ref="B34:I34"/>
    <mergeCell ref="B15:I15"/>
    <mergeCell ref="B33:I33"/>
    <mergeCell ref="B24:I24"/>
    <mergeCell ref="B36:I36"/>
    <mergeCell ref="L56:N56"/>
    <mergeCell ref="B73:I73"/>
    <mergeCell ref="B44:I44"/>
    <mergeCell ref="B53:I53"/>
    <mergeCell ref="B69:I69"/>
    <mergeCell ref="B64:I64"/>
    <mergeCell ref="B55:I55"/>
    <mergeCell ref="B62:I62"/>
    <mergeCell ref="L57:N65"/>
    <mergeCell ref="B4:J5"/>
    <mergeCell ref="B27:I27"/>
    <mergeCell ref="B2:N3"/>
    <mergeCell ref="B18:I18"/>
    <mergeCell ref="B52:I52"/>
    <mergeCell ref="L4:N5"/>
    <mergeCell ref="L7:N7"/>
    <mergeCell ref="B7:I7"/>
    <mergeCell ref="B25:I25"/>
    <mergeCell ref="B47:I47"/>
  </mergeCells>
  <conditionalFormatting sqref="M9:M16">
    <cfRule type="cellIs" dxfId="4" priority="1" operator="between">
      <formula>0.5</formula>
      <formula>0.74</formula>
    </cfRule>
    <cfRule type="cellIs" dxfId="3" priority="2" operator="between">
      <formula>0.75</formula>
      <formula>1</formula>
    </cfRule>
    <cfRule type="cellIs" dxfId="2" priority="3" operator="between">
      <formula>0.5</formula>
      <formula>0.75</formula>
    </cfRule>
    <cfRule type="cellIs" dxfId="1" priority="4" operator="between">
      <formula>0.25</formula>
      <formula>0.5</formula>
    </cfRule>
    <cfRule type="cellIs" dxfId="0" priority="5" operator="between">
      <formula>0</formula>
      <formula>0.24</formula>
    </cfRule>
  </conditionalFormatting>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T48"/>
  <sheetViews>
    <sheetView zoomScale="70" zoomScaleNormal="70" workbookViewId="0">
      <selection activeCell="D47" sqref="D47"/>
    </sheetView>
  </sheetViews>
  <sheetFormatPr defaultColWidth="11.44140625" defaultRowHeight="14.4" x14ac:dyDescent="0.3"/>
  <cols>
    <col min="1" max="1" width="11.44140625" style="141" customWidth="1"/>
    <col min="2" max="2" width="65.88671875" style="141" customWidth="1"/>
    <col min="3" max="8" width="14.44140625" style="141" customWidth="1"/>
    <col min="9" max="9" width="12.6640625" style="141" customWidth="1"/>
    <col min="10" max="10" width="3.88671875" style="141" customWidth="1"/>
    <col min="11" max="13" width="11.44140625" style="141" customWidth="1"/>
    <col min="14" max="16384" width="11.44140625" style="141"/>
  </cols>
  <sheetData>
    <row r="2" spans="2:13" ht="15.75" customHeight="1" thickBot="1" x14ac:dyDescent="0.35"/>
    <row r="3" spans="2:13" ht="15" customHeight="1" x14ac:dyDescent="0.3">
      <c r="B3" s="180" t="s">
        <v>194</v>
      </c>
      <c r="C3" s="172"/>
      <c r="D3" s="172"/>
      <c r="E3" s="172"/>
      <c r="F3" s="172"/>
      <c r="G3" s="172"/>
      <c r="H3" s="172"/>
      <c r="I3" s="172"/>
      <c r="J3" s="172"/>
      <c r="K3" s="173"/>
    </row>
    <row r="4" spans="2:13" ht="15.75" customHeight="1" thickBot="1" x14ac:dyDescent="0.35">
      <c r="B4" s="174"/>
      <c r="C4" s="175"/>
      <c r="D4" s="175"/>
      <c r="E4" s="175"/>
      <c r="F4" s="175"/>
      <c r="G4" s="175"/>
      <c r="H4" s="175"/>
      <c r="I4" s="175"/>
      <c r="J4" s="175"/>
      <c r="K4" s="176"/>
    </row>
    <row r="5" spans="2:13" ht="15.75" customHeight="1" x14ac:dyDescent="0.3">
      <c r="B5" s="200" t="s">
        <v>241</v>
      </c>
      <c r="C5" s="192"/>
      <c r="D5" s="192"/>
      <c r="E5" s="192"/>
      <c r="F5" s="171" t="str">
        <f>IF(M9&lt;=24%,"INICIAL",IF(M9&lt;=49%,"NOVATO",IF(M9&lt;=74%,"COMPETENTE",IF(M9&lt;=99%,"AVANZADO","EXPERTO"))))</f>
        <v>INICIAL</v>
      </c>
      <c r="G5" s="172"/>
      <c r="H5" s="172"/>
      <c r="I5" s="172"/>
      <c r="J5" s="172"/>
      <c r="K5" s="173"/>
    </row>
    <row r="6" spans="2:13" ht="15.75" customHeight="1" thickBot="1" x14ac:dyDescent="0.35">
      <c r="B6" s="174"/>
      <c r="C6" s="175"/>
      <c r="D6" s="175"/>
      <c r="E6" s="175"/>
      <c r="F6" s="174"/>
      <c r="G6" s="175"/>
      <c r="H6" s="175"/>
      <c r="I6" s="175"/>
      <c r="J6" s="175"/>
      <c r="K6" s="176"/>
    </row>
    <row r="7" spans="2:13" x14ac:dyDescent="0.3">
      <c r="B7" s="27"/>
      <c r="C7" s="27"/>
      <c r="D7" s="27"/>
      <c r="E7" s="27"/>
      <c r="F7" s="27"/>
      <c r="G7" s="27"/>
      <c r="H7" s="27"/>
      <c r="I7" s="27"/>
    </row>
    <row r="8" spans="2:13" ht="15.75" customHeight="1" thickBot="1" x14ac:dyDescent="0.35">
      <c r="I8" s="27"/>
      <c r="J8" s="27"/>
      <c r="K8" s="27"/>
      <c r="L8" s="27"/>
      <c r="M8" s="27"/>
    </row>
    <row r="9" spans="2:13" ht="15.75" customHeight="1" thickBot="1" x14ac:dyDescent="0.35">
      <c r="B9" s="188" t="s">
        <v>196</v>
      </c>
      <c r="C9" s="184"/>
      <c r="D9" s="184"/>
      <c r="E9" s="184"/>
      <c r="F9" s="184"/>
      <c r="G9" s="184"/>
      <c r="H9" s="184"/>
      <c r="I9" s="185"/>
    </row>
    <row r="10" spans="2:13" ht="36" customHeight="1" thickBot="1" x14ac:dyDescent="0.35">
      <c r="B10" s="68"/>
      <c r="C10" s="81" t="s">
        <v>242</v>
      </c>
      <c r="D10" s="81" t="s">
        <v>243</v>
      </c>
      <c r="E10" s="82" t="s">
        <v>244</v>
      </c>
      <c r="F10" s="82" t="s">
        <v>245</v>
      </c>
      <c r="G10" s="82" t="s">
        <v>246</v>
      </c>
      <c r="H10" s="83" t="s">
        <v>20</v>
      </c>
      <c r="I10" s="69"/>
    </row>
    <row r="11" spans="2:13" ht="15.75" customHeight="1" thickBot="1" x14ac:dyDescent="0.35">
      <c r="B11" s="4" t="s">
        <v>198</v>
      </c>
      <c r="C11" s="22">
        <v>0</v>
      </c>
      <c r="D11" s="22">
        <v>0.25</v>
      </c>
      <c r="E11" s="22">
        <v>0.5</v>
      </c>
      <c r="F11" s="22">
        <v>0.75</v>
      </c>
      <c r="G11" s="22">
        <v>1</v>
      </c>
      <c r="H11" s="23" t="s">
        <v>19</v>
      </c>
      <c r="I11" s="6" t="s">
        <v>199</v>
      </c>
    </row>
    <row r="12" spans="2:13" ht="19.5" customHeight="1" x14ac:dyDescent="0.3">
      <c r="B12" s="88" t="s">
        <v>27</v>
      </c>
      <c r="C12" s="75">
        <f>COUNTA(REQUISITOS!B15:B18)</f>
        <v>0</v>
      </c>
      <c r="D12" s="75">
        <f>COUNTA(REQUISITOS!C15:C18)</f>
        <v>0</v>
      </c>
      <c r="E12" s="75">
        <f>COUNTA(REQUISITOS!D15:D18)</f>
        <v>0</v>
      </c>
      <c r="F12" s="75">
        <f>COUNTA(REQUISITOS!E15:E18)</f>
        <v>0</v>
      </c>
      <c r="G12" s="75">
        <f>COUNTA(REQUISITOS!F15:F18)</f>
        <v>0</v>
      </c>
      <c r="H12" s="75">
        <f>COUNTA(REQUISITOS!G15:G18)</f>
        <v>0</v>
      </c>
      <c r="I12" s="84">
        <f>SUM(C12:G12)</f>
        <v>0</v>
      </c>
    </row>
    <row r="13" spans="2:13" ht="19.5" customHeight="1" x14ac:dyDescent="0.3">
      <c r="B13" s="89" t="s">
        <v>35</v>
      </c>
      <c r="C13" s="76">
        <f>COUNTA(REQUISITOS!B21:B25)</f>
        <v>0</v>
      </c>
      <c r="D13" s="76">
        <f>COUNTA(REQUISITOS!C21:C25)</f>
        <v>0</v>
      </c>
      <c r="E13" s="76">
        <f>COUNTA(REQUISITOS!D21:D25)</f>
        <v>0</v>
      </c>
      <c r="F13" s="76">
        <f>COUNTA(REQUISITOS!E21:E25)</f>
        <v>0</v>
      </c>
      <c r="G13" s="76">
        <f>COUNTA(REQUISITOS!F21:F25)</f>
        <v>0</v>
      </c>
      <c r="H13" s="76">
        <f>COUNTA(REQUISITOS!G21:G25)</f>
        <v>0</v>
      </c>
      <c r="I13" s="85">
        <f>SUM(C13:H13)</f>
        <v>0</v>
      </c>
    </row>
    <row r="14" spans="2:13" ht="19.5" customHeight="1" x14ac:dyDescent="0.3">
      <c r="B14" s="89" t="s">
        <v>247</v>
      </c>
      <c r="C14" s="76">
        <f>COUNTA(REQUISITOS!B28:B32)</f>
        <v>0</v>
      </c>
      <c r="D14" s="76">
        <f>COUNTA(REQUISITOS!C28:C32)</f>
        <v>0</v>
      </c>
      <c r="E14" s="76">
        <f>COUNTA(REQUISITOS!D28:D32)</f>
        <v>0</v>
      </c>
      <c r="F14" s="76">
        <f>COUNTA(REQUISITOS!E28:E32)</f>
        <v>0</v>
      </c>
      <c r="G14" s="76">
        <f>COUNTA(REQUISITOS!F28:F32)</f>
        <v>0</v>
      </c>
      <c r="H14" s="76">
        <f>COUNTA(REQUISITOS!G28:G32)</f>
        <v>0</v>
      </c>
      <c r="I14" s="85">
        <f>SUM(C14:H14)</f>
        <v>0</v>
      </c>
    </row>
    <row r="15" spans="2:13" ht="19.5" customHeight="1" thickBot="1" x14ac:dyDescent="0.35">
      <c r="B15" s="89" t="s">
        <v>47</v>
      </c>
      <c r="C15" s="76">
        <f>COUNTA(REQUISITOS!B35:B37)</f>
        <v>0</v>
      </c>
      <c r="D15" s="76">
        <f>COUNTA(REQUISITOS!C35:C37)</f>
        <v>0</v>
      </c>
      <c r="E15" s="76">
        <f>COUNTA(REQUISITOS!D35:D37)</f>
        <v>0</v>
      </c>
      <c r="F15" s="76">
        <f>COUNTA(REQUISITOS!E35:E37)</f>
        <v>0</v>
      </c>
      <c r="G15" s="76">
        <f>COUNTA(REQUISITOS!F35:F37)</f>
        <v>0</v>
      </c>
      <c r="H15" s="76">
        <f>COUNTA(REQUISITOS!G35:G37)</f>
        <v>0</v>
      </c>
      <c r="I15" s="85">
        <f>SUM(C15:H15)</f>
        <v>0</v>
      </c>
    </row>
    <row r="16" spans="2:13" ht="15.75" customHeight="1" thickBot="1" x14ac:dyDescent="0.35">
      <c r="B16" s="74" t="s">
        <v>199</v>
      </c>
      <c r="C16" s="72">
        <f t="shared" ref="C16:H16" si="0">SUM(C12:C15)</f>
        <v>0</v>
      </c>
      <c r="D16" s="72">
        <f t="shared" si="0"/>
        <v>0</v>
      </c>
      <c r="E16" s="72">
        <f t="shared" si="0"/>
        <v>0</v>
      </c>
      <c r="F16" s="72">
        <f t="shared" si="0"/>
        <v>0</v>
      </c>
      <c r="G16" s="72">
        <f t="shared" si="0"/>
        <v>0</v>
      </c>
      <c r="H16" s="72">
        <f t="shared" si="0"/>
        <v>0</v>
      </c>
      <c r="I16" s="73">
        <f>SUM(I12:I15)-H16</f>
        <v>0</v>
      </c>
    </row>
    <row r="17" spans="2:20" ht="15.75" customHeight="1" thickBot="1" x14ac:dyDescent="0.35">
      <c r="B17" s="189" t="s">
        <v>248</v>
      </c>
      <c r="C17" s="184"/>
      <c r="D17" s="184"/>
      <c r="E17" s="184"/>
      <c r="F17" s="184"/>
      <c r="G17" s="184"/>
      <c r="H17" s="184"/>
      <c r="I17" s="185"/>
    </row>
    <row r="18" spans="2:20" ht="15.75" customHeight="1" thickBot="1" x14ac:dyDescent="0.35">
      <c r="B18" s="194">
        <f>IF(I16=0,0,(C16*C11+D16*D11+E16*E11+F16*F11+G16*G11)/I16)</f>
        <v>0</v>
      </c>
      <c r="C18" s="184"/>
      <c r="D18" s="184"/>
      <c r="E18" s="184"/>
      <c r="F18" s="184"/>
      <c r="G18" s="184"/>
      <c r="H18" s="184"/>
      <c r="I18" s="185"/>
    </row>
    <row r="20" spans="2:20" x14ac:dyDescent="0.3">
      <c r="C20" s="29"/>
      <c r="D20" s="29"/>
      <c r="E20" s="29"/>
      <c r="F20" s="29"/>
      <c r="G20" s="29"/>
      <c r="H20" s="29"/>
    </row>
    <row r="21" spans="2:20" ht="15" customHeight="1" x14ac:dyDescent="0.3"/>
    <row r="22" spans="2:20" ht="15.75" customHeight="1" x14ac:dyDescent="0.3"/>
    <row r="23" spans="2:20" ht="36" customHeight="1" x14ac:dyDescent="0.3"/>
    <row r="24" spans="2:20" ht="44.25" customHeight="1" x14ac:dyDescent="0.3">
      <c r="R24" s="86"/>
      <c r="S24" s="86"/>
      <c r="T24" s="86"/>
    </row>
    <row r="25" spans="2:20" ht="15.75" customHeight="1" x14ac:dyDescent="0.3">
      <c r="R25" s="86"/>
      <c r="S25" s="86"/>
      <c r="T25" s="86"/>
    </row>
    <row r="26" spans="2:20" ht="15.75" customHeight="1" x14ac:dyDescent="0.3">
      <c r="R26" s="86"/>
      <c r="S26" s="86"/>
      <c r="T26" s="86"/>
    </row>
    <row r="27" spans="2:20" ht="15.75" customHeight="1" x14ac:dyDescent="0.3">
      <c r="R27" s="86"/>
      <c r="S27" s="86"/>
      <c r="T27" s="86"/>
    </row>
    <row r="28" spans="2:20" ht="42" customHeight="1" x14ac:dyDescent="0.3">
      <c r="R28" s="86"/>
      <c r="S28" s="86"/>
      <c r="T28" s="86"/>
    </row>
    <row r="29" spans="2:20" ht="15.75" customHeight="1" x14ac:dyDescent="0.3">
      <c r="R29" s="86"/>
      <c r="S29" s="86"/>
      <c r="T29" s="86"/>
    </row>
    <row r="30" spans="2:20" ht="15.75" customHeight="1" x14ac:dyDescent="0.3">
      <c r="G30" s="66"/>
      <c r="H30" s="66"/>
      <c r="I30" s="66"/>
      <c r="J30" s="66"/>
      <c r="K30" s="66"/>
      <c r="L30" s="66"/>
      <c r="M30" s="66"/>
      <c r="N30" s="66"/>
      <c r="O30" s="66"/>
      <c r="P30" s="66"/>
      <c r="R30" s="86"/>
      <c r="S30" s="86"/>
      <c r="T30" s="86"/>
    </row>
    <row r="31" spans="2:20" ht="15.75" customHeight="1" x14ac:dyDescent="0.3">
      <c r="G31" s="66"/>
      <c r="H31" s="66"/>
      <c r="I31" s="66"/>
      <c r="J31" s="66"/>
      <c r="K31" s="66"/>
      <c r="L31" s="66"/>
      <c r="M31" s="66"/>
      <c r="N31" s="66"/>
      <c r="O31" s="66"/>
      <c r="P31" s="66"/>
      <c r="R31" s="86"/>
      <c r="S31" s="86"/>
      <c r="T31" s="86"/>
    </row>
    <row r="32" spans="2:20" ht="15.75" customHeight="1" x14ac:dyDescent="0.3">
      <c r="G32" s="66"/>
      <c r="H32" s="66"/>
      <c r="I32" s="66"/>
      <c r="J32" s="66"/>
      <c r="K32" s="66"/>
      <c r="L32" s="66"/>
      <c r="M32" s="66"/>
      <c r="N32" s="66"/>
      <c r="O32" s="66"/>
      <c r="P32" s="66"/>
      <c r="Q32" s="86"/>
      <c r="R32" s="86"/>
      <c r="S32" s="86"/>
      <c r="T32" s="86"/>
    </row>
    <row r="33" spans="2:20" ht="15" customHeight="1" x14ac:dyDescent="0.3">
      <c r="G33" s="66"/>
      <c r="H33" s="66"/>
      <c r="I33" s="66"/>
      <c r="J33" s="66"/>
      <c r="K33" s="66"/>
      <c r="L33" s="66"/>
      <c r="M33" s="66"/>
      <c r="N33" s="66"/>
      <c r="O33" s="66"/>
      <c r="P33" s="66"/>
      <c r="Q33" s="86"/>
      <c r="R33" s="86"/>
      <c r="S33" s="86"/>
      <c r="T33" s="86"/>
    </row>
    <row r="34" spans="2:20" ht="15" customHeight="1" x14ac:dyDescent="0.3">
      <c r="G34" s="66"/>
      <c r="H34" s="66"/>
      <c r="I34" s="66"/>
      <c r="J34" s="66"/>
      <c r="K34" s="66"/>
      <c r="L34" s="66"/>
      <c r="M34" s="66"/>
      <c r="N34" s="66"/>
      <c r="O34" s="66"/>
      <c r="P34" s="66"/>
      <c r="Q34" s="86"/>
      <c r="R34" s="86"/>
      <c r="S34" s="86"/>
      <c r="T34" s="86"/>
    </row>
    <row r="35" spans="2:20" ht="15" customHeight="1" x14ac:dyDescent="0.3">
      <c r="K35" s="86"/>
      <c r="L35" s="86"/>
      <c r="M35" s="86"/>
      <c r="N35" s="86"/>
      <c r="O35" s="86"/>
      <c r="P35" s="86"/>
      <c r="Q35" s="86"/>
      <c r="R35" s="86"/>
      <c r="S35" s="86"/>
      <c r="T35" s="86"/>
    </row>
    <row r="36" spans="2:20" ht="15" customHeight="1" x14ac:dyDescent="0.3">
      <c r="K36" s="86"/>
      <c r="L36" s="86"/>
      <c r="M36" s="86"/>
      <c r="N36" s="86"/>
      <c r="O36" s="86"/>
      <c r="P36" s="86"/>
      <c r="Q36" s="86"/>
      <c r="R36" s="86"/>
      <c r="S36" s="86"/>
      <c r="T36" s="86"/>
    </row>
    <row r="37" spans="2:20" ht="15" customHeight="1" x14ac:dyDescent="0.3">
      <c r="K37" s="86"/>
      <c r="L37" s="86"/>
      <c r="M37" s="86"/>
      <c r="N37" s="86"/>
      <c r="O37" s="86"/>
      <c r="P37" s="86"/>
      <c r="Q37" s="86"/>
      <c r="R37" s="86"/>
      <c r="S37" s="86"/>
      <c r="T37" s="86"/>
    </row>
    <row r="38" spans="2:20" ht="15" customHeight="1" x14ac:dyDescent="0.3">
      <c r="K38" s="86"/>
      <c r="L38" s="86"/>
      <c r="M38" s="86"/>
      <c r="N38" s="86"/>
      <c r="O38" s="86"/>
      <c r="P38" s="86"/>
      <c r="Q38" s="86"/>
      <c r="R38" s="86"/>
      <c r="S38" s="86"/>
      <c r="T38" s="86"/>
    </row>
    <row r="39" spans="2:20" ht="15" customHeight="1" thickBot="1" x14ac:dyDescent="0.35">
      <c r="K39" s="86"/>
      <c r="L39" s="86"/>
      <c r="M39" s="86"/>
      <c r="N39" s="86"/>
      <c r="O39" s="86"/>
      <c r="P39" s="86"/>
      <c r="Q39" s="86"/>
      <c r="R39" s="86"/>
      <c r="S39" s="86"/>
      <c r="T39" s="86"/>
    </row>
    <row r="40" spans="2:20" ht="15" customHeight="1" x14ac:dyDescent="0.3">
      <c r="B40" s="195" t="s">
        <v>249</v>
      </c>
      <c r="C40" s="172"/>
      <c r="D40" s="172"/>
      <c r="E40" s="172"/>
      <c r="F40" s="172"/>
      <c r="G40" s="172"/>
      <c r="H40" s="172"/>
      <c r="I40" s="172"/>
      <c r="J40" s="172"/>
      <c r="K40" s="173"/>
    </row>
    <row r="41" spans="2:20" ht="15" customHeight="1" x14ac:dyDescent="0.3">
      <c r="B41" s="191"/>
      <c r="C41" s="192"/>
      <c r="D41" s="192"/>
      <c r="E41" s="192"/>
      <c r="F41" s="192"/>
      <c r="G41" s="192"/>
      <c r="H41" s="192"/>
      <c r="I41" s="192"/>
      <c r="J41" s="192"/>
      <c r="K41" s="193"/>
    </row>
    <row r="42" spans="2:20" ht="15" customHeight="1" thickBot="1" x14ac:dyDescent="0.35">
      <c r="B42" s="174"/>
      <c r="C42" s="175"/>
      <c r="D42" s="175"/>
      <c r="E42" s="175"/>
      <c r="F42" s="175"/>
      <c r="G42" s="175"/>
      <c r="H42" s="175"/>
      <c r="I42" s="175"/>
      <c r="J42" s="175"/>
      <c r="K42" s="176"/>
    </row>
    <row r="43" spans="2:20" ht="15" customHeight="1" x14ac:dyDescent="0.3">
      <c r="B43" s="199" t="str">
        <f>"Según se muestra en la tabla CONTEXTO DE LA ORGANIZACIÓN el porcentaje de implementación alcanzado es de "&amp;TEXT(B18,"0.00%")&amp;"."&amp;CHAR(10)&amp;CHAR(10)&amp;""</f>
        <v xml:space="preserve">Según se muestra en la tabla CONTEXTO DE LA ORGANIZACIÓN el porcentaje de implementación alcanzado es de 0.00%.
</v>
      </c>
      <c r="C43" s="192"/>
      <c r="D43" s="192"/>
      <c r="E43" s="192"/>
      <c r="F43" s="192"/>
      <c r="G43" s="192"/>
      <c r="H43" s="192"/>
      <c r="I43" s="192"/>
      <c r="J43" s="192"/>
      <c r="K43" s="193"/>
    </row>
    <row r="44" spans="2:20" ht="54.75" customHeight="1" thickBot="1" x14ac:dyDescent="0.35">
      <c r="B44" s="196" t="s">
        <v>250</v>
      </c>
      <c r="C44" s="197"/>
      <c r="D44" s="197"/>
      <c r="E44" s="197"/>
      <c r="F44" s="197"/>
      <c r="G44" s="197"/>
      <c r="H44" s="197"/>
      <c r="I44" s="197"/>
      <c r="J44" s="197"/>
      <c r="K44" s="198"/>
    </row>
    <row r="45" spans="2:20" ht="15" customHeight="1" x14ac:dyDescent="0.3">
      <c r="B45" s="91"/>
      <c r="C45" s="91"/>
      <c r="D45" s="91"/>
      <c r="E45" s="91"/>
      <c r="F45" s="91"/>
    </row>
    <row r="46" spans="2:20" ht="15" customHeight="1" x14ac:dyDescent="0.3">
      <c r="B46" s="91"/>
      <c r="C46" s="91"/>
      <c r="D46" s="91"/>
      <c r="E46" s="91"/>
      <c r="F46" s="91"/>
    </row>
    <row r="47" spans="2:20" ht="15" customHeight="1" x14ac:dyDescent="0.3">
      <c r="B47" s="91"/>
      <c r="C47" s="91"/>
      <c r="D47" s="91"/>
      <c r="E47" s="91"/>
      <c r="F47" s="91"/>
    </row>
    <row r="48" spans="2:20" ht="15" customHeight="1" x14ac:dyDescent="0.3">
      <c r="B48" s="91"/>
      <c r="C48" s="91"/>
      <c r="D48" s="91"/>
      <c r="E48" s="91"/>
      <c r="F48" s="91"/>
    </row>
  </sheetData>
  <mergeCells count="9">
    <mergeCell ref="B40:K42"/>
    <mergeCell ref="B44:K44"/>
    <mergeCell ref="B43:K43"/>
    <mergeCell ref="B3:K4"/>
    <mergeCell ref="B5:E6"/>
    <mergeCell ref="B17:I17"/>
    <mergeCell ref="B18:I18"/>
    <mergeCell ref="B9:I9"/>
    <mergeCell ref="F5:K6"/>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47"/>
  <sheetViews>
    <sheetView zoomScale="80" zoomScaleNormal="80" workbookViewId="0">
      <selection activeCell="S17" sqref="S17"/>
    </sheetView>
  </sheetViews>
  <sheetFormatPr defaultColWidth="11.44140625" defaultRowHeight="14.4" x14ac:dyDescent="0.3"/>
  <cols>
    <col min="1" max="1" width="11.88671875" style="141" customWidth="1"/>
    <col min="2" max="2" width="60.44140625" style="141" customWidth="1"/>
    <col min="3" max="9" width="11.5546875" style="141" customWidth="1"/>
    <col min="10" max="12" width="11.44140625" style="141" customWidth="1"/>
    <col min="13" max="16384" width="11.44140625" style="141"/>
  </cols>
  <sheetData>
    <row r="2" spans="2:16" ht="15.75" customHeight="1" thickBot="1" x14ac:dyDescent="0.35"/>
    <row r="3" spans="2:16" ht="15" customHeight="1" x14ac:dyDescent="0.3">
      <c r="B3" s="180" t="s">
        <v>194</v>
      </c>
      <c r="C3" s="172"/>
      <c r="D3" s="172"/>
      <c r="E3" s="172"/>
      <c r="F3" s="172"/>
      <c r="G3" s="172"/>
      <c r="H3" s="172"/>
      <c r="I3" s="172"/>
      <c r="J3" s="173"/>
    </row>
    <row r="4" spans="2:16" ht="15.75" customHeight="1" thickBot="1" x14ac:dyDescent="0.35">
      <c r="B4" s="174"/>
      <c r="C4" s="175"/>
      <c r="D4" s="175"/>
      <c r="E4" s="175"/>
      <c r="F4" s="175"/>
      <c r="G4" s="175"/>
      <c r="H4" s="175"/>
      <c r="I4" s="175"/>
      <c r="J4" s="176"/>
    </row>
    <row r="5" spans="2:16" ht="15" customHeight="1" x14ac:dyDescent="0.3">
      <c r="B5" s="200" t="s">
        <v>241</v>
      </c>
      <c r="C5" s="192"/>
      <c r="D5" s="192"/>
      <c r="E5" s="171" t="str">
        <f>IF(M9&lt;=24%,"INICIAL",IF(M9&lt;=49%,"NOVATO",IF(M9&lt;=74%,"COMPETENTE",IF(M9&lt;=99%,"AVANZADO","EXPERTO"))))</f>
        <v>INICIAL</v>
      </c>
      <c r="F5" s="172"/>
      <c r="G5" s="172"/>
      <c r="H5" s="172"/>
      <c r="I5" s="172"/>
      <c r="J5" s="173"/>
    </row>
    <row r="6" spans="2:16" ht="15.75" customHeight="1" thickBot="1" x14ac:dyDescent="0.35">
      <c r="B6" s="174"/>
      <c r="C6" s="175"/>
      <c r="D6" s="175"/>
      <c r="E6" s="174"/>
      <c r="F6" s="175"/>
      <c r="G6" s="175"/>
      <c r="H6" s="175"/>
      <c r="I6" s="175"/>
      <c r="J6" s="176"/>
    </row>
    <row r="7" spans="2:16" x14ac:dyDescent="0.3">
      <c r="B7" s="27"/>
      <c r="C7" s="27"/>
      <c r="D7" s="27"/>
      <c r="E7" s="27"/>
      <c r="F7" s="27"/>
      <c r="G7" s="27"/>
      <c r="H7" s="27"/>
      <c r="I7" s="27"/>
      <c r="J7" s="27"/>
      <c r="K7" s="27"/>
      <c r="L7" s="27"/>
      <c r="M7" s="27"/>
      <c r="N7" s="27"/>
      <c r="O7" s="27"/>
      <c r="P7" s="27"/>
    </row>
    <row r="8" spans="2:16" ht="15.75" customHeight="1" thickBot="1" x14ac:dyDescent="0.35"/>
    <row r="9" spans="2:16" ht="15.75" customHeight="1" thickBot="1" x14ac:dyDescent="0.35">
      <c r="B9" s="188" t="s">
        <v>210</v>
      </c>
      <c r="C9" s="184"/>
      <c r="D9" s="184"/>
      <c r="E9" s="184"/>
      <c r="F9" s="184"/>
      <c r="G9" s="184"/>
      <c r="H9" s="184"/>
      <c r="I9" s="185"/>
    </row>
    <row r="10" spans="2:16" ht="27.75" customHeight="1" thickBot="1" x14ac:dyDescent="0.35">
      <c r="B10" s="68"/>
      <c r="C10" s="92" t="s">
        <v>242</v>
      </c>
      <c r="D10" s="93" t="s">
        <v>243</v>
      </c>
      <c r="E10" s="93" t="s">
        <v>244</v>
      </c>
      <c r="F10" s="94" t="s">
        <v>245</v>
      </c>
      <c r="G10" s="93" t="s">
        <v>246</v>
      </c>
      <c r="H10" s="95" t="s">
        <v>20</v>
      </c>
      <c r="I10" s="69"/>
    </row>
    <row r="11" spans="2:16" ht="15.75" customHeight="1" thickBot="1" x14ac:dyDescent="0.35">
      <c r="B11" s="57" t="s">
        <v>198</v>
      </c>
      <c r="C11" s="57">
        <v>0</v>
      </c>
      <c r="D11" s="57">
        <v>0.25</v>
      </c>
      <c r="E11" s="57">
        <v>0.5</v>
      </c>
      <c r="F11" s="57">
        <v>0.75</v>
      </c>
      <c r="G11" s="57">
        <v>1</v>
      </c>
      <c r="H11" s="58" t="s">
        <v>19</v>
      </c>
      <c r="I11" s="59" t="s">
        <v>199</v>
      </c>
    </row>
    <row r="12" spans="2:16" x14ac:dyDescent="0.3">
      <c r="B12" s="87" t="s">
        <v>52</v>
      </c>
      <c r="C12" s="79">
        <f>COUNTIF(REQUISITOS!B41:B44,"X")</f>
        <v>0</v>
      </c>
      <c r="D12" s="79">
        <f>COUNTIF(REQUISITOS!C41:C44,"X")</f>
        <v>0</v>
      </c>
      <c r="E12" s="79">
        <f>COUNTIF(REQUISITOS!D41:D44,"X")</f>
        <v>0</v>
      </c>
      <c r="F12" s="79">
        <f>COUNTIF(REQUISITOS!E41:E44,"X")</f>
        <v>0</v>
      </c>
      <c r="G12" s="79">
        <f>COUNTIF(REQUISITOS!F41:F44,"X")</f>
        <v>0</v>
      </c>
      <c r="H12" s="79">
        <f>COUNTIF(REQUISITOS!G41:G44,"X")</f>
        <v>0</v>
      </c>
      <c r="I12" s="84">
        <f>SUM(C12:H12)</f>
        <v>0</v>
      </c>
    </row>
    <row r="13" spans="2:16" x14ac:dyDescent="0.3">
      <c r="B13" s="71" t="s">
        <v>58</v>
      </c>
      <c r="C13" s="76">
        <f>COUNTIF(REQUISITOS!B47:B52,"X")</f>
        <v>0</v>
      </c>
      <c r="D13" s="76">
        <f>COUNTIF(REQUISITOS!C47:C52,"X")</f>
        <v>0</v>
      </c>
      <c r="E13" s="76">
        <f>COUNTIF(REQUISITOS!D47:D52,"X")</f>
        <v>0</v>
      </c>
      <c r="F13" s="76">
        <f>COUNTIF(REQUISITOS!E47:E52,"X")</f>
        <v>0</v>
      </c>
      <c r="G13" s="76">
        <f>COUNTIF(REQUISITOS!F47:F52,"X")</f>
        <v>0</v>
      </c>
      <c r="H13" s="76">
        <f>COUNTIF(REQUISITOS!G47:G52,"X")</f>
        <v>0</v>
      </c>
      <c r="I13" s="85">
        <f>SUM(C13:H13)</f>
        <v>0</v>
      </c>
    </row>
    <row r="14" spans="2:16" ht="15.75" customHeight="1" thickBot="1" x14ac:dyDescent="0.35">
      <c r="B14" s="71" t="s">
        <v>251</v>
      </c>
      <c r="C14" s="77">
        <f>COUNTIF(REQUISITOS!B55:B56,"X")</f>
        <v>0</v>
      </c>
      <c r="D14" s="77">
        <f>COUNTIF(REQUISITOS!C55:C56,"X")</f>
        <v>0</v>
      </c>
      <c r="E14" s="77">
        <f>COUNTIF(REQUISITOS!D55:D56,"X")</f>
        <v>0</v>
      </c>
      <c r="F14" s="77">
        <f>COUNTIF(REQUISITOS!E55:E56,"X")</f>
        <v>0</v>
      </c>
      <c r="G14" s="77">
        <f>COUNTIF(REQUISITOS!F55:F56,"X")</f>
        <v>0</v>
      </c>
      <c r="H14" s="77">
        <f>COUNTIF(REQUISITOS!G55:G56,"X")</f>
        <v>0</v>
      </c>
      <c r="I14" s="105">
        <f>SUM(C14:H14)</f>
        <v>0</v>
      </c>
    </row>
    <row r="15" spans="2:16" ht="15.75" customHeight="1" thickBot="1" x14ac:dyDescent="0.35">
      <c r="B15" s="60" t="s">
        <v>199</v>
      </c>
      <c r="C15" s="106">
        <f t="shared" ref="C15:H15" si="0">SUM(C12:C14)</f>
        <v>0</v>
      </c>
      <c r="D15" s="106">
        <f t="shared" si="0"/>
        <v>0</v>
      </c>
      <c r="E15" s="99">
        <f t="shared" si="0"/>
        <v>0</v>
      </c>
      <c r="F15" s="107">
        <f t="shared" si="0"/>
        <v>0</v>
      </c>
      <c r="G15" s="99">
        <f t="shared" si="0"/>
        <v>0</v>
      </c>
      <c r="H15" s="107">
        <f t="shared" si="0"/>
        <v>0</v>
      </c>
      <c r="I15" s="99">
        <f>SUM(I12:I14)-H15</f>
        <v>0</v>
      </c>
    </row>
    <row r="16" spans="2:16" ht="15.75" customHeight="1" thickBot="1" x14ac:dyDescent="0.35">
      <c r="B16" s="189" t="s">
        <v>252</v>
      </c>
      <c r="C16" s="184"/>
      <c r="D16" s="184"/>
      <c r="E16" s="184"/>
      <c r="F16" s="184"/>
      <c r="G16" s="184"/>
      <c r="H16" s="184"/>
      <c r="I16" s="185"/>
    </row>
    <row r="17" spans="2:15" ht="15.75" customHeight="1" thickBot="1" x14ac:dyDescent="0.35">
      <c r="B17" s="194">
        <f>IF(I15=0,0,(C15*C11+D15*D11+E15*E11+F15*F11+G15*G11)/I15)</f>
        <v>0</v>
      </c>
      <c r="C17" s="184"/>
      <c r="D17" s="184"/>
      <c r="E17" s="184"/>
      <c r="F17" s="184"/>
      <c r="G17" s="184"/>
      <c r="H17" s="184"/>
      <c r="I17" s="185"/>
    </row>
    <row r="26" spans="2:15" ht="15.75" customHeight="1" x14ac:dyDescent="0.3">
      <c r="J26" s="24"/>
      <c r="K26" s="24"/>
      <c r="L26" s="24"/>
      <c r="M26" s="24"/>
      <c r="N26" s="24"/>
      <c r="O26" s="24"/>
    </row>
    <row r="27" spans="2:15" ht="15.75" customHeight="1" x14ac:dyDescent="0.3">
      <c r="J27" s="24"/>
      <c r="K27" s="24"/>
      <c r="L27" s="24"/>
      <c r="M27" s="24"/>
      <c r="N27" s="24"/>
      <c r="O27" s="24"/>
    </row>
    <row r="28" spans="2:15" ht="15" customHeight="1" x14ac:dyDescent="0.3"/>
    <row r="29" spans="2:15" ht="15" customHeight="1" x14ac:dyDescent="0.3"/>
    <row r="30" spans="2:15" ht="15" customHeight="1" x14ac:dyDescent="0.3"/>
    <row r="31" spans="2:15" ht="15" customHeight="1" x14ac:dyDescent="0.3"/>
    <row r="32" spans="2:15" ht="15" customHeight="1" x14ac:dyDescent="0.3"/>
    <row r="33" spans="2:10" ht="15" customHeight="1" x14ac:dyDescent="0.3"/>
    <row r="34" spans="2:10" ht="15" customHeight="1" x14ac:dyDescent="0.3"/>
    <row r="35" spans="2:10" ht="15" customHeight="1" x14ac:dyDescent="0.3"/>
    <row r="36" spans="2:10" ht="15" customHeight="1" x14ac:dyDescent="0.3"/>
    <row r="37" spans="2:10" ht="15" customHeight="1" x14ac:dyDescent="0.3"/>
    <row r="38" spans="2:10" ht="15" customHeight="1" thickBot="1" x14ac:dyDescent="0.35"/>
    <row r="39" spans="2:10" ht="15" customHeight="1" x14ac:dyDescent="0.3">
      <c r="B39" s="195" t="s">
        <v>249</v>
      </c>
      <c r="C39" s="172"/>
      <c r="D39" s="172"/>
      <c r="E39" s="172"/>
      <c r="F39" s="172"/>
      <c r="G39" s="172"/>
      <c r="H39" s="172"/>
      <c r="I39" s="172"/>
      <c r="J39" s="173"/>
    </row>
    <row r="40" spans="2:10" ht="15" customHeight="1" x14ac:dyDescent="0.3">
      <c r="B40" s="191"/>
      <c r="C40" s="192"/>
      <c r="D40" s="192"/>
      <c r="E40" s="192"/>
      <c r="F40" s="192"/>
      <c r="G40" s="192"/>
      <c r="H40" s="192"/>
      <c r="I40" s="192"/>
      <c r="J40" s="193"/>
    </row>
    <row r="41" spans="2:10" ht="15" customHeight="1" thickBot="1" x14ac:dyDescent="0.35">
      <c r="B41" s="174"/>
      <c r="C41" s="175"/>
      <c r="D41" s="175"/>
      <c r="E41" s="175"/>
      <c r="F41" s="175"/>
      <c r="G41" s="175"/>
      <c r="H41" s="175"/>
      <c r="I41" s="175"/>
      <c r="J41" s="176"/>
    </row>
    <row r="42" spans="2:10" ht="15" customHeight="1" x14ac:dyDescent="0.3">
      <c r="B42" s="205" t="str">
        <f>"Según se muestra en la tabla LIDERAZGO el porcentaje de implementación alcanzado es de "&amp;TEXT(B17,"0.00%")&amp;""</f>
        <v>Según se muestra en la tabla LIDERAZGO el porcentaje de implementación alcanzado es de 0.00%</v>
      </c>
      <c r="C42" s="172"/>
      <c r="D42" s="172"/>
      <c r="E42" s="172"/>
      <c r="F42" s="172"/>
      <c r="G42" s="172"/>
      <c r="H42" s="172"/>
      <c r="I42" s="172"/>
      <c r="J42" s="173"/>
    </row>
    <row r="43" spans="2:10" ht="15" customHeight="1" x14ac:dyDescent="0.3">
      <c r="B43" s="201" t="s">
        <v>253</v>
      </c>
      <c r="C43" s="192"/>
      <c r="D43" s="192"/>
      <c r="E43" s="192"/>
      <c r="F43" s="192"/>
      <c r="G43" s="192"/>
      <c r="H43" s="192"/>
      <c r="I43" s="192"/>
      <c r="J43" s="202"/>
    </row>
    <row r="44" spans="2:10" x14ac:dyDescent="0.3">
      <c r="B44" s="203"/>
      <c r="C44" s="192"/>
      <c r="D44" s="192"/>
      <c r="E44" s="192"/>
      <c r="F44" s="192"/>
      <c r="G44" s="192"/>
      <c r="H44" s="192"/>
      <c r="I44" s="192"/>
      <c r="J44" s="202"/>
    </row>
    <row r="45" spans="2:10" x14ac:dyDescent="0.3">
      <c r="B45" s="203"/>
      <c r="C45" s="192"/>
      <c r="D45" s="192"/>
      <c r="E45" s="192"/>
      <c r="F45" s="192"/>
      <c r="G45" s="192"/>
      <c r="H45" s="192"/>
      <c r="I45" s="192"/>
      <c r="J45" s="202"/>
    </row>
    <row r="46" spans="2:10" x14ac:dyDescent="0.3">
      <c r="B46" s="203"/>
      <c r="C46" s="192"/>
      <c r="D46" s="192"/>
      <c r="E46" s="192"/>
      <c r="F46" s="192"/>
      <c r="G46" s="192"/>
      <c r="H46" s="192"/>
      <c r="I46" s="192"/>
      <c r="J46" s="202"/>
    </row>
    <row r="47" spans="2:10" ht="15.75" customHeight="1" thickBot="1" x14ac:dyDescent="0.35">
      <c r="B47" s="204"/>
      <c r="C47" s="197"/>
      <c r="D47" s="197"/>
      <c r="E47" s="197"/>
      <c r="F47" s="197"/>
      <c r="G47" s="197"/>
      <c r="H47" s="197"/>
      <c r="I47" s="197"/>
      <c r="J47" s="198"/>
    </row>
  </sheetData>
  <mergeCells count="9">
    <mergeCell ref="B43:J47"/>
    <mergeCell ref="B3:J4"/>
    <mergeCell ref="B39:J41"/>
    <mergeCell ref="B17:I17"/>
    <mergeCell ref="B9:I9"/>
    <mergeCell ref="B5:D6"/>
    <mergeCell ref="B42:J42"/>
    <mergeCell ref="B16:I16"/>
    <mergeCell ref="E5:J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M53"/>
  <sheetViews>
    <sheetView zoomScale="70" zoomScaleNormal="70" workbookViewId="0">
      <selection activeCell="C14" sqref="C14"/>
    </sheetView>
  </sheetViews>
  <sheetFormatPr defaultColWidth="11.44140625" defaultRowHeight="14.4" x14ac:dyDescent="0.3"/>
  <cols>
    <col min="1" max="1" width="11.44140625" style="141" customWidth="1"/>
    <col min="2" max="2" width="55.44140625" style="141" customWidth="1"/>
    <col min="3" max="9" width="11.5546875" style="141" customWidth="1"/>
    <col min="10" max="12" width="11.44140625" style="141" customWidth="1"/>
    <col min="13" max="16384" width="11.44140625" style="141"/>
  </cols>
  <sheetData>
    <row r="2" spans="2:13" ht="15.75" customHeight="1" thickBot="1" x14ac:dyDescent="0.35"/>
    <row r="3" spans="2:13" ht="15" customHeight="1" x14ac:dyDescent="0.3">
      <c r="B3" s="180" t="s">
        <v>194</v>
      </c>
      <c r="C3" s="172"/>
      <c r="D3" s="172"/>
      <c r="E3" s="172"/>
      <c r="F3" s="172"/>
      <c r="G3" s="172"/>
      <c r="H3" s="172"/>
      <c r="I3" s="172"/>
      <c r="J3" s="172"/>
      <c r="K3" s="172"/>
      <c r="L3" s="172"/>
      <c r="M3" s="173"/>
    </row>
    <row r="4" spans="2:13" ht="15.75" customHeight="1" thickBot="1" x14ac:dyDescent="0.35">
      <c r="B4" s="174"/>
      <c r="C4" s="175"/>
      <c r="D4" s="175"/>
      <c r="E4" s="175"/>
      <c r="F4" s="175"/>
      <c r="G4" s="175"/>
      <c r="H4" s="175"/>
      <c r="I4" s="175"/>
      <c r="J4" s="175"/>
      <c r="K4" s="175"/>
      <c r="L4" s="175"/>
      <c r="M4" s="176"/>
    </row>
    <row r="5" spans="2:13" ht="15" customHeight="1" x14ac:dyDescent="0.3">
      <c r="B5" s="208" t="s">
        <v>241</v>
      </c>
      <c r="C5" s="172"/>
      <c r="D5" s="172"/>
      <c r="E5" s="172"/>
      <c r="F5" s="171" t="str">
        <f>IF(M9&lt;=24%,"INICIAL",IF(M9&lt;=49%,"NOVATO",IF(M9&lt;=74%,"COMPETENTE",IF(M9&lt;=99%,"AVANZADO","EXPERTO"))))</f>
        <v>INICIAL</v>
      </c>
      <c r="G5" s="172"/>
      <c r="H5" s="172"/>
      <c r="I5" s="172"/>
      <c r="J5" s="172"/>
      <c r="K5" s="172"/>
      <c r="L5" s="172"/>
      <c r="M5" s="173"/>
    </row>
    <row r="6" spans="2:13" ht="15.75" customHeight="1" thickBot="1" x14ac:dyDescent="0.35">
      <c r="B6" s="174"/>
      <c r="C6" s="175"/>
      <c r="D6" s="175"/>
      <c r="E6" s="175"/>
      <c r="F6" s="174"/>
      <c r="G6" s="175"/>
      <c r="H6" s="175"/>
      <c r="I6" s="175"/>
      <c r="J6" s="175"/>
      <c r="K6" s="175"/>
      <c r="L6" s="175"/>
      <c r="M6" s="176"/>
    </row>
    <row r="8" spans="2:13" ht="15.75" customHeight="1" thickBot="1" x14ac:dyDescent="0.35"/>
    <row r="9" spans="2:13" ht="15.75" customHeight="1" thickBot="1" x14ac:dyDescent="0.35">
      <c r="B9" s="188" t="s">
        <v>254</v>
      </c>
      <c r="C9" s="184"/>
      <c r="D9" s="184"/>
      <c r="E9" s="184"/>
      <c r="F9" s="184"/>
      <c r="G9" s="184"/>
      <c r="H9" s="184"/>
      <c r="I9" s="185"/>
    </row>
    <row r="10" spans="2:13" ht="33" customHeight="1" thickBot="1" x14ac:dyDescent="0.35">
      <c r="B10" s="68"/>
      <c r="C10" s="92" t="s">
        <v>242</v>
      </c>
      <c r="D10" s="93" t="s">
        <v>243</v>
      </c>
      <c r="E10" s="93" t="s">
        <v>244</v>
      </c>
      <c r="F10" s="94" t="s">
        <v>245</v>
      </c>
      <c r="G10" s="93" t="s">
        <v>246</v>
      </c>
      <c r="H10" s="95" t="s">
        <v>20</v>
      </c>
      <c r="I10" s="69"/>
    </row>
    <row r="11" spans="2:13" ht="16.5" customHeight="1" thickBot="1" x14ac:dyDescent="0.35">
      <c r="B11" s="57" t="s">
        <v>198</v>
      </c>
      <c r="C11" s="57">
        <v>0</v>
      </c>
      <c r="D11" s="57">
        <v>0.25</v>
      </c>
      <c r="E11" s="57">
        <v>0.5</v>
      </c>
      <c r="F11" s="57">
        <v>0.75</v>
      </c>
      <c r="G11" s="57">
        <v>1</v>
      </c>
      <c r="H11" s="58" t="s">
        <v>19</v>
      </c>
      <c r="I11" s="59" t="s">
        <v>199</v>
      </c>
    </row>
    <row r="12" spans="2:13" s="42" customFormat="1" ht="27" customHeight="1" x14ac:dyDescent="0.3">
      <c r="B12" s="70" t="s">
        <v>70</v>
      </c>
      <c r="C12" s="79">
        <f>COUNTIF(REQUISITOS!B60:B75,"X")</f>
        <v>0</v>
      </c>
      <c r="D12" s="79">
        <f>COUNTIF(REQUISITOS!C60:C75,"X")</f>
        <v>0</v>
      </c>
      <c r="E12" s="79">
        <f>COUNTIF(REQUISITOS!D60:D75,"X")</f>
        <v>0</v>
      </c>
      <c r="F12" s="79">
        <f>COUNTIF(REQUISITOS!E60:E75,"X")</f>
        <v>0</v>
      </c>
      <c r="G12" s="79">
        <f>COUNTIF(REQUISITOS!F60:F75,"X")</f>
        <v>0</v>
      </c>
      <c r="H12" s="79">
        <f>COUNTIF(REQUISITOS!G60:G75,"X")</f>
        <v>0</v>
      </c>
      <c r="I12" s="108">
        <f>SUM(C12:H12)</f>
        <v>0</v>
      </c>
    </row>
    <row r="13" spans="2:13" s="42" customFormat="1" ht="27" customHeight="1" x14ac:dyDescent="0.3">
      <c r="B13" s="71" t="s">
        <v>88</v>
      </c>
      <c r="C13" s="78">
        <f>COUNTIF(REQUISITOS!B78:B82,"X")</f>
        <v>0</v>
      </c>
      <c r="D13" s="78">
        <f>COUNTIF(REQUISITOS!C78:C82,"X")</f>
        <v>0</v>
      </c>
      <c r="E13" s="78">
        <f>COUNTIF(REQUISITOS!D78:D82,"X")</f>
        <v>0</v>
      </c>
      <c r="F13" s="78">
        <f>COUNTIF(REQUISITOS!E78:E82,"X")</f>
        <v>0</v>
      </c>
      <c r="G13" s="78">
        <f>COUNTIF(REQUISITOS!F78:F82,"X")</f>
        <v>0</v>
      </c>
      <c r="H13" s="78">
        <f>COUNTIF(REQUISITOS!G78:G82,"X")</f>
        <v>0</v>
      </c>
      <c r="I13" s="105">
        <f>SUM(C13:H13)</f>
        <v>0</v>
      </c>
    </row>
    <row r="14" spans="2:13" s="42" customFormat="1" ht="27" customHeight="1" thickBot="1" x14ac:dyDescent="0.35">
      <c r="B14" s="71" t="s">
        <v>94</v>
      </c>
      <c r="C14" s="78">
        <f>COUNTIF(REQUISITOS!B85:B87,"X")</f>
        <v>0</v>
      </c>
      <c r="D14" s="78">
        <f>COUNTIF(REQUISITOS!C85:C87,"X")</f>
        <v>0</v>
      </c>
      <c r="E14" s="78">
        <f>COUNTIF(REQUISITOS!D85:D87,"X")</f>
        <v>0</v>
      </c>
      <c r="F14" s="78">
        <f>COUNTIF(REQUISITOS!E85:E87,"X")</f>
        <v>0</v>
      </c>
      <c r="G14" s="78">
        <f>COUNTIF(REQUISITOS!F85:F87,"X")</f>
        <v>0</v>
      </c>
      <c r="H14" s="78">
        <f>COUNTIF(REQUISITOS!G85:G87,"X")</f>
        <v>0</v>
      </c>
      <c r="I14" s="105">
        <f>SUM(C14:H14)</f>
        <v>0</v>
      </c>
    </row>
    <row r="15" spans="2:13" ht="15.75" customHeight="1" thickBot="1" x14ac:dyDescent="0.35">
      <c r="B15" s="63" t="s">
        <v>199</v>
      </c>
      <c r="C15" s="96">
        <f t="shared" ref="C15:H15" si="0">SUM(C12:C14)</f>
        <v>0</v>
      </c>
      <c r="D15" s="96">
        <f t="shared" si="0"/>
        <v>0</v>
      </c>
      <c r="E15" s="96">
        <f t="shared" si="0"/>
        <v>0</v>
      </c>
      <c r="F15" s="96">
        <f t="shared" si="0"/>
        <v>0</v>
      </c>
      <c r="G15" s="96">
        <f t="shared" si="0"/>
        <v>0</v>
      </c>
      <c r="H15" s="96">
        <f t="shared" si="0"/>
        <v>0</v>
      </c>
      <c r="I15" s="64">
        <f>SUM(I12:I14)-H15</f>
        <v>0</v>
      </c>
    </row>
    <row r="16" spans="2:13" ht="15.75" customHeight="1" thickBot="1" x14ac:dyDescent="0.35">
      <c r="B16" s="189" t="s">
        <v>255</v>
      </c>
      <c r="C16" s="184"/>
      <c r="D16" s="184"/>
      <c r="E16" s="184"/>
      <c r="F16" s="184"/>
      <c r="G16" s="184"/>
      <c r="H16" s="184"/>
      <c r="I16" s="185"/>
    </row>
    <row r="17" spans="2:9" ht="15.75" customHeight="1" thickBot="1" x14ac:dyDescent="0.35">
      <c r="B17" s="194">
        <f>IF(I15=0,0,(C15*C11+D15*D11+E15*E11+F15*F11+G15*G11)/I15)</f>
        <v>0</v>
      </c>
      <c r="C17" s="184"/>
      <c r="D17" s="184"/>
      <c r="E17" s="184"/>
      <c r="F17" s="184"/>
      <c r="G17" s="184"/>
      <c r="H17" s="184"/>
      <c r="I17" s="185"/>
    </row>
    <row r="26" spans="2:9" ht="15.75" customHeight="1" x14ac:dyDescent="0.3"/>
    <row r="28" spans="2:9" ht="15" customHeight="1" x14ac:dyDescent="0.3"/>
    <row r="42" spans="1:13" ht="15.75" customHeight="1" thickBot="1" x14ac:dyDescent="0.35"/>
    <row r="43" spans="1:13" ht="15" customHeight="1" x14ac:dyDescent="0.3">
      <c r="B43" s="195" t="s">
        <v>249</v>
      </c>
      <c r="C43" s="172"/>
      <c r="D43" s="172"/>
      <c r="E43" s="172"/>
      <c r="F43" s="172"/>
      <c r="G43" s="172"/>
      <c r="H43" s="172"/>
      <c r="I43" s="172"/>
      <c r="J43" s="172"/>
      <c r="K43" s="172"/>
      <c r="L43" s="172"/>
      <c r="M43" s="173"/>
    </row>
    <row r="44" spans="1:13" ht="15" customHeight="1" x14ac:dyDescent="0.3">
      <c r="B44" s="191"/>
      <c r="C44" s="192"/>
      <c r="D44" s="192"/>
      <c r="E44" s="192"/>
      <c r="F44" s="192"/>
      <c r="G44" s="192"/>
      <c r="H44" s="192"/>
      <c r="I44" s="192"/>
      <c r="J44" s="192"/>
      <c r="K44" s="192"/>
      <c r="L44" s="192"/>
      <c r="M44" s="193"/>
    </row>
    <row r="45" spans="1:13" ht="15.75" customHeight="1" thickBot="1" x14ac:dyDescent="0.35">
      <c r="B45" s="174"/>
      <c r="C45" s="175"/>
      <c r="D45" s="175"/>
      <c r="E45" s="175"/>
      <c r="F45" s="175"/>
      <c r="G45" s="175"/>
      <c r="H45" s="175"/>
      <c r="I45" s="175"/>
      <c r="J45" s="175"/>
      <c r="K45" s="175"/>
      <c r="L45" s="175"/>
      <c r="M45" s="176"/>
    </row>
    <row r="46" spans="1:13" ht="15.75" customHeight="1" x14ac:dyDescent="0.3">
      <c r="B46" s="207" t="str">
        <f>"Según se muestra en la tabla PLANIFICACIÓN el porcentaje de implementación alcanzado es de "&amp;TEXT(B21,"0.00%")&amp;""</f>
        <v>Según se muestra en la tabla PLANIFICACIÓN el porcentaje de implementación alcanzado es de 0.00%</v>
      </c>
      <c r="C46" s="172"/>
      <c r="D46" s="172"/>
      <c r="E46" s="172"/>
      <c r="F46" s="172"/>
      <c r="G46" s="172"/>
      <c r="H46" s="172"/>
      <c r="I46" s="172"/>
      <c r="J46" s="172"/>
      <c r="K46" s="172"/>
      <c r="L46" s="172"/>
      <c r="M46" s="173"/>
    </row>
    <row r="47" spans="1:13" ht="15" customHeight="1" x14ac:dyDescent="0.3">
      <c r="A47" s="142"/>
      <c r="B47" s="206" t="s">
        <v>256</v>
      </c>
      <c r="C47" s="192"/>
      <c r="D47" s="192"/>
      <c r="E47" s="192"/>
      <c r="F47" s="192"/>
      <c r="G47" s="192"/>
      <c r="H47" s="192"/>
      <c r="I47" s="192"/>
      <c r="J47" s="192"/>
      <c r="K47" s="192"/>
      <c r="L47" s="192"/>
      <c r="M47" s="193"/>
    </row>
    <row r="48" spans="1:13" x14ac:dyDescent="0.3">
      <c r="A48" s="142"/>
      <c r="B48" s="191"/>
      <c r="C48" s="192"/>
      <c r="D48" s="192"/>
      <c r="E48" s="192"/>
      <c r="F48" s="192"/>
      <c r="G48" s="192"/>
      <c r="H48" s="192"/>
      <c r="I48" s="192"/>
      <c r="J48" s="192"/>
      <c r="K48" s="192"/>
      <c r="L48" s="192"/>
      <c r="M48" s="193"/>
    </row>
    <row r="49" spans="1:13" x14ac:dyDescent="0.3">
      <c r="A49" s="142"/>
      <c r="B49" s="191"/>
      <c r="C49" s="192"/>
      <c r="D49" s="192"/>
      <c r="E49" s="192"/>
      <c r="F49" s="192"/>
      <c r="G49" s="192"/>
      <c r="H49" s="192"/>
      <c r="I49" s="192"/>
      <c r="J49" s="192"/>
      <c r="K49" s="192"/>
      <c r="L49" s="192"/>
      <c r="M49" s="193"/>
    </row>
    <row r="50" spans="1:13" ht="15.75" customHeight="1" thickBot="1" x14ac:dyDescent="0.35">
      <c r="A50" s="142"/>
      <c r="B50" s="191"/>
      <c r="C50" s="192"/>
      <c r="D50" s="192"/>
      <c r="E50" s="192"/>
      <c r="F50" s="192"/>
      <c r="G50" s="192"/>
      <c r="H50" s="192"/>
      <c r="I50" s="192"/>
      <c r="J50" s="192"/>
      <c r="K50" s="192"/>
      <c r="L50" s="192"/>
      <c r="M50" s="193"/>
    </row>
    <row r="51" spans="1:13" x14ac:dyDescent="0.3">
      <c r="B51" s="98"/>
      <c r="C51" s="98"/>
      <c r="D51" s="98"/>
      <c r="E51" s="98"/>
      <c r="F51" s="98"/>
      <c r="G51" s="98"/>
      <c r="H51" s="98"/>
      <c r="I51" s="98"/>
      <c r="J51" s="98"/>
      <c r="K51" s="98"/>
      <c r="L51" s="98"/>
      <c r="M51" s="98"/>
    </row>
    <row r="52" spans="1:13" x14ac:dyDescent="0.3">
      <c r="B52" s="97"/>
      <c r="C52" s="97"/>
      <c r="D52" s="97"/>
      <c r="E52" s="97"/>
      <c r="F52" s="97"/>
      <c r="G52" s="97"/>
      <c r="H52" s="97"/>
      <c r="I52" s="97"/>
      <c r="J52" s="97"/>
      <c r="K52" s="97"/>
      <c r="L52" s="97"/>
      <c r="M52" s="97"/>
    </row>
    <row r="53" spans="1:13" ht="18.75" customHeight="1" x14ac:dyDescent="0.35">
      <c r="C53" s="126"/>
    </row>
  </sheetData>
  <mergeCells count="9">
    <mergeCell ref="B47:M50"/>
    <mergeCell ref="B3:M4"/>
    <mergeCell ref="B17:I17"/>
    <mergeCell ref="B9:I9"/>
    <mergeCell ref="B43:M45"/>
    <mergeCell ref="B16:I16"/>
    <mergeCell ref="B46:M46"/>
    <mergeCell ref="F5:M6"/>
    <mergeCell ref="B5:E6"/>
  </mergeCell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50"/>
  <sheetViews>
    <sheetView zoomScale="70" zoomScaleNormal="70" workbookViewId="0">
      <selection activeCell="R28" sqref="R28"/>
    </sheetView>
  </sheetViews>
  <sheetFormatPr defaultColWidth="11.44140625" defaultRowHeight="14.4" x14ac:dyDescent="0.3"/>
  <cols>
    <col min="1" max="1" width="11.44140625" style="141" customWidth="1"/>
    <col min="2" max="2" width="43" style="141" customWidth="1"/>
    <col min="3" max="4" width="11.44140625" style="141" customWidth="1"/>
    <col min="5" max="16384" width="11.44140625" style="141"/>
  </cols>
  <sheetData>
    <row r="2" spans="2:13" ht="15.75" customHeight="1" thickBot="1" x14ac:dyDescent="0.35"/>
    <row r="3" spans="2:13" ht="15" customHeight="1" x14ac:dyDescent="0.3">
      <c r="B3" s="180" t="s">
        <v>194</v>
      </c>
      <c r="C3" s="172"/>
      <c r="D3" s="172"/>
      <c r="E3" s="172"/>
      <c r="F3" s="172"/>
      <c r="G3" s="172"/>
      <c r="H3" s="172"/>
      <c r="I3" s="172"/>
      <c r="J3" s="172"/>
      <c r="K3" s="172"/>
      <c r="L3" s="172"/>
      <c r="M3" s="173"/>
    </row>
    <row r="4" spans="2:13" ht="15.75" customHeight="1" thickBot="1" x14ac:dyDescent="0.35">
      <c r="B4" s="174"/>
      <c r="C4" s="175"/>
      <c r="D4" s="175"/>
      <c r="E4" s="175"/>
      <c r="F4" s="175"/>
      <c r="G4" s="175"/>
      <c r="H4" s="175"/>
      <c r="I4" s="175"/>
      <c r="J4" s="175"/>
      <c r="K4" s="175"/>
      <c r="L4" s="175"/>
      <c r="M4" s="176"/>
    </row>
    <row r="5" spans="2:13" ht="15" customHeight="1" x14ac:dyDescent="0.3">
      <c r="B5" s="208" t="s">
        <v>241</v>
      </c>
      <c r="C5" s="172"/>
      <c r="D5" s="172"/>
      <c r="E5" s="172"/>
      <c r="F5" s="172"/>
      <c r="G5" s="171" t="str">
        <f>IF(M9&lt;=24%,"INICIAL",IF(M9&lt;=49%,"NOVATO",IF(M9&lt;=74%,"COMPETENTE",IF(M9&lt;=99%,"AVANZADO","EXPERTO"))))</f>
        <v>INICIAL</v>
      </c>
      <c r="H5" s="172"/>
      <c r="I5" s="172"/>
      <c r="J5" s="172"/>
      <c r="K5" s="172"/>
      <c r="L5" s="172"/>
      <c r="M5" s="173"/>
    </row>
    <row r="6" spans="2:13" ht="15.75" customHeight="1" thickBot="1" x14ac:dyDescent="0.35">
      <c r="B6" s="174"/>
      <c r="C6" s="175"/>
      <c r="D6" s="175"/>
      <c r="E6" s="175"/>
      <c r="F6" s="175"/>
      <c r="G6" s="174"/>
      <c r="H6" s="175"/>
      <c r="I6" s="175"/>
      <c r="J6" s="175"/>
      <c r="K6" s="175"/>
      <c r="L6" s="175"/>
      <c r="M6" s="176"/>
    </row>
    <row r="8" spans="2:13" ht="15.75" customHeight="1" thickBot="1" x14ac:dyDescent="0.35"/>
    <row r="9" spans="2:13" ht="15.75" customHeight="1" thickBot="1" x14ac:dyDescent="0.35">
      <c r="B9" s="188" t="s">
        <v>257</v>
      </c>
      <c r="C9" s="184"/>
      <c r="D9" s="184"/>
      <c r="E9" s="184"/>
      <c r="F9" s="184"/>
      <c r="G9" s="184"/>
      <c r="H9" s="184"/>
      <c r="I9" s="185"/>
    </row>
    <row r="10" spans="2:13" ht="27.75" customHeight="1" thickBot="1" x14ac:dyDescent="0.35">
      <c r="B10" s="68"/>
      <c r="C10" s="92" t="s">
        <v>242</v>
      </c>
      <c r="D10" s="93" t="s">
        <v>243</v>
      </c>
      <c r="E10" s="93" t="s">
        <v>244</v>
      </c>
      <c r="F10" s="94" t="s">
        <v>245</v>
      </c>
      <c r="G10" s="93" t="s">
        <v>246</v>
      </c>
      <c r="H10" s="95" t="s">
        <v>20</v>
      </c>
      <c r="I10" s="69"/>
    </row>
    <row r="11" spans="2:13" ht="15.75" customHeight="1" thickBot="1" x14ac:dyDescent="0.35">
      <c r="B11" s="57" t="s">
        <v>198</v>
      </c>
      <c r="C11" s="57">
        <v>0</v>
      </c>
      <c r="D11" s="57">
        <v>0.25</v>
      </c>
      <c r="E11" s="57">
        <v>0.5</v>
      </c>
      <c r="F11" s="57">
        <v>0.75</v>
      </c>
      <c r="G11" s="57">
        <v>1</v>
      </c>
      <c r="H11" s="58" t="s">
        <v>19</v>
      </c>
      <c r="I11" s="59" t="s">
        <v>199</v>
      </c>
    </row>
    <row r="12" spans="2:13" ht="15.75" customHeight="1" x14ac:dyDescent="0.3">
      <c r="B12" s="88" t="s">
        <v>99</v>
      </c>
      <c r="C12" s="79">
        <f>COUNTIF(REQUISITOS!B91,"X")</f>
        <v>0</v>
      </c>
      <c r="D12" s="79">
        <f>COUNTIF(REQUISITOS!C91,"X")</f>
        <v>0</v>
      </c>
      <c r="E12" s="79">
        <f>COUNTIF(REQUISITOS!D91,"X")</f>
        <v>0</v>
      </c>
      <c r="F12" s="79">
        <f>COUNTIF(REQUISITOS!E91,"X")</f>
        <v>0</v>
      </c>
      <c r="G12" s="79">
        <f>COUNTIF(REQUISITOS!F91,"X")</f>
        <v>0</v>
      </c>
      <c r="H12" s="79">
        <f>COUNTIF(REQUISITOS!G91,"X")</f>
        <v>0</v>
      </c>
      <c r="I12" s="84">
        <f>SUM(C12:H12)</f>
        <v>0</v>
      </c>
    </row>
    <row r="13" spans="2:13" ht="15.75" customHeight="1" x14ac:dyDescent="0.3">
      <c r="B13" s="89" t="s">
        <v>101</v>
      </c>
      <c r="C13" s="78">
        <f>COUNTIF(REQUISITOS!B94:B97,"X")</f>
        <v>0</v>
      </c>
      <c r="D13" s="78">
        <f>COUNTIF(REQUISITOS!C94:C97,"X")</f>
        <v>0</v>
      </c>
      <c r="E13" s="78">
        <f>COUNTIF(REQUISITOS!D94:D97,"X")</f>
        <v>0</v>
      </c>
      <c r="F13" s="78">
        <f>COUNTIF(REQUISITOS!E94:E97,"X")</f>
        <v>0</v>
      </c>
      <c r="G13" s="78">
        <f>COUNTIF(REQUISITOS!F94:F97,"X")</f>
        <v>0</v>
      </c>
      <c r="H13" s="78">
        <f>COUNTIF(REQUISITOS!G94:G97,"X")</f>
        <v>0</v>
      </c>
      <c r="I13" s="85">
        <f>SUM(C13:H13)</f>
        <v>0</v>
      </c>
    </row>
    <row r="14" spans="2:13" ht="15.75" customHeight="1" x14ac:dyDescent="0.3">
      <c r="B14" s="89" t="s">
        <v>258</v>
      </c>
      <c r="C14" s="78">
        <f>COUNTIF(REQUISITOS!B100:B102,"X")</f>
        <v>0</v>
      </c>
      <c r="D14" s="78">
        <f>COUNTIF(REQUISITOS!C100:C102,"X")</f>
        <v>0</v>
      </c>
      <c r="E14" s="78">
        <f>COUNTIF(REQUISITOS!D100:D102,"X")</f>
        <v>0</v>
      </c>
      <c r="F14" s="78">
        <f>COUNTIF(REQUISITOS!E100:E102,"X")</f>
        <v>0</v>
      </c>
      <c r="G14" s="78">
        <f>COUNTIF(REQUISITOS!F100:F102,"X")</f>
        <v>0</v>
      </c>
      <c r="H14" s="78">
        <f>COUNTIF(REQUISITOS!G100:G102,"X")</f>
        <v>0</v>
      </c>
      <c r="I14" s="85">
        <f>SUM(C14:H14)</f>
        <v>0</v>
      </c>
    </row>
    <row r="15" spans="2:13" ht="15.75" customHeight="1" x14ac:dyDescent="0.3">
      <c r="B15" s="89" t="s">
        <v>111</v>
      </c>
      <c r="C15" s="78">
        <f>COUNTIF(REQUISITOS!B105:B111,"X")</f>
        <v>0</v>
      </c>
      <c r="D15" s="78">
        <f>COUNTIF(REQUISITOS!C105:C111,"X")</f>
        <v>0</v>
      </c>
      <c r="E15" s="78">
        <f>COUNTIF(REQUISITOS!D105:D111,"X")</f>
        <v>0</v>
      </c>
      <c r="F15" s="78">
        <f>COUNTIF(REQUISITOS!E105:E111,"X")</f>
        <v>0</v>
      </c>
      <c r="G15" s="78">
        <f>COUNTIF(REQUISITOS!F105:F111,"X")</f>
        <v>0</v>
      </c>
      <c r="H15" s="78">
        <f>COUNTIF(REQUISITOS!G105:G111,"X")</f>
        <v>0</v>
      </c>
      <c r="I15" s="85">
        <f>SUM(C15:H15)</f>
        <v>0</v>
      </c>
    </row>
    <row r="16" spans="2:13" ht="15.75" customHeight="1" thickBot="1" x14ac:dyDescent="0.35">
      <c r="B16" s="90" t="s">
        <v>119</v>
      </c>
      <c r="C16" s="78">
        <f>COUNTIF(REQUISITOS!B114:B120,"X")</f>
        <v>0</v>
      </c>
      <c r="D16" s="78">
        <f>COUNTIF(REQUISITOS!C114:C120,"X")</f>
        <v>0</v>
      </c>
      <c r="E16" s="78">
        <f>COUNTIF(REQUISITOS!D114:D120,"X")</f>
        <v>0</v>
      </c>
      <c r="F16" s="78">
        <f>COUNTIF(REQUISITOS!E114:E120,"X")</f>
        <v>0</v>
      </c>
      <c r="G16" s="78">
        <f>COUNTIF(REQUISITOS!F114:F120,"X")</f>
        <v>0</v>
      </c>
      <c r="H16" s="78">
        <f>COUNTIF(REQUISITOS!G114:G120,"X")</f>
        <v>0</v>
      </c>
      <c r="I16" s="105">
        <f>SUM(C16:H16)</f>
        <v>0</v>
      </c>
    </row>
    <row r="17" spans="2:9" ht="15.75" customHeight="1" thickBot="1" x14ac:dyDescent="0.35">
      <c r="B17" s="60" t="s">
        <v>199</v>
      </c>
      <c r="C17" s="99">
        <f t="shared" ref="C17:H17" si="0">SUM(C12:C16)</f>
        <v>0</v>
      </c>
      <c r="D17" s="100">
        <f t="shared" si="0"/>
        <v>0</v>
      </c>
      <c r="E17" s="100">
        <f t="shared" si="0"/>
        <v>0</v>
      </c>
      <c r="F17" s="100">
        <f t="shared" si="0"/>
        <v>0</v>
      </c>
      <c r="G17" s="100">
        <f t="shared" si="0"/>
        <v>0</v>
      </c>
      <c r="H17" s="100">
        <f t="shared" si="0"/>
        <v>0</v>
      </c>
      <c r="I17" s="100">
        <f>SUM(I12:I16)-H17</f>
        <v>0</v>
      </c>
    </row>
    <row r="18" spans="2:9" ht="15.75" customHeight="1" thickBot="1" x14ac:dyDescent="0.35">
      <c r="B18" s="189" t="s">
        <v>259</v>
      </c>
      <c r="C18" s="184"/>
      <c r="D18" s="184"/>
      <c r="E18" s="184"/>
      <c r="F18" s="184"/>
      <c r="G18" s="184"/>
      <c r="H18" s="184"/>
      <c r="I18" s="185"/>
    </row>
    <row r="19" spans="2:9" ht="15.75" customHeight="1" thickBot="1" x14ac:dyDescent="0.35">
      <c r="B19" s="194">
        <f>IF(I17=0,0,(C17*C11+D17*D11+E17*E11+F17*F11+G17*G11)/I17)</f>
        <v>0</v>
      </c>
      <c r="C19" s="184"/>
      <c r="D19" s="184"/>
      <c r="E19" s="184"/>
      <c r="F19" s="184"/>
      <c r="G19" s="184"/>
      <c r="H19" s="184"/>
      <c r="I19" s="185"/>
    </row>
    <row r="24" spans="2:9" ht="15.75" customHeight="1" x14ac:dyDescent="0.3"/>
    <row r="26" spans="2:9" ht="15" customHeight="1" x14ac:dyDescent="0.3"/>
    <row r="42" spans="2:13" ht="15" customHeight="1" thickBot="1" x14ac:dyDescent="0.35">
      <c r="B42" s="24"/>
    </row>
    <row r="43" spans="2:13" ht="15" customHeight="1" x14ac:dyDescent="0.3">
      <c r="B43" s="211" t="s">
        <v>249</v>
      </c>
      <c r="C43" s="172"/>
      <c r="D43" s="172"/>
      <c r="E43" s="172"/>
      <c r="F43" s="172"/>
      <c r="G43" s="172"/>
      <c r="H43" s="172"/>
      <c r="I43" s="172"/>
      <c r="J43" s="172"/>
      <c r="K43" s="172"/>
      <c r="L43" s="172"/>
      <c r="M43" s="173"/>
    </row>
    <row r="44" spans="2:13" ht="15.75" customHeight="1" x14ac:dyDescent="0.3">
      <c r="B44" s="191"/>
      <c r="C44" s="192"/>
      <c r="D44" s="192"/>
      <c r="E44" s="192"/>
      <c r="F44" s="192"/>
      <c r="G44" s="192"/>
      <c r="H44" s="192"/>
      <c r="I44" s="192"/>
      <c r="J44" s="192"/>
      <c r="K44" s="192"/>
      <c r="L44" s="192"/>
      <c r="M44" s="193"/>
    </row>
    <row r="45" spans="2:13" ht="15.75" customHeight="1" thickBot="1" x14ac:dyDescent="0.35">
      <c r="B45" s="174"/>
      <c r="C45" s="175"/>
      <c r="D45" s="175"/>
      <c r="E45" s="175"/>
      <c r="F45" s="175"/>
      <c r="G45" s="175"/>
      <c r="H45" s="175"/>
      <c r="I45" s="175"/>
      <c r="J45" s="175"/>
      <c r="K45" s="175"/>
      <c r="L45" s="175"/>
      <c r="M45" s="176"/>
    </row>
    <row r="46" spans="2:13" x14ac:dyDescent="0.3">
      <c r="B46" s="210" t="str">
        <f>"Según se muestra en la tabla APOYO el porcentaje de implementación alcanzado es de "&amp;TEXT(B19,"0.00%")&amp;" "</f>
        <v xml:space="preserve">Según se muestra en la tabla APOYO el porcentaje de implementación alcanzado es de 0.00% </v>
      </c>
      <c r="C46" s="172"/>
      <c r="D46" s="172"/>
      <c r="E46" s="172"/>
      <c r="F46" s="172"/>
      <c r="G46" s="172"/>
      <c r="H46" s="172"/>
      <c r="I46" s="172"/>
      <c r="J46" s="172"/>
      <c r="K46" s="172"/>
      <c r="L46" s="172"/>
      <c r="M46" s="173"/>
    </row>
    <row r="47" spans="2:13" ht="17.25" customHeight="1" x14ac:dyDescent="0.3">
      <c r="B47" s="209" t="s">
        <v>260</v>
      </c>
      <c r="C47" s="192"/>
      <c r="D47" s="192"/>
      <c r="E47" s="192"/>
      <c r="F47" s="192"/>
      <c r="G47" s="192"/>
      <c r="H47" s="192"/>
      <c r="I47" s="192"/>
      <c r="J47" s="192"/>
      <c r="K47" s="192"/>
      <c r="L47" s="192"/>
      <c r="M47" s="193"/>
    </row>
    <row r="48" spans="2:13" x14ac:dyDescent="0.3">
      <c r="B48" s="191"/>
      <c r="C48" s="192"/>
      <c r="D48" s="192"/>
      <c r="E48" s="192"/>
      <c r="F48" s="192"/>
      <c r="G48" s="192"/>
      <c r="H48" s="192"/>
      <c r="I48" s="192"/>
      <c r="J48" s="192"/>
      <c r="K48" s="192"/>
      <c r="L48" s="192"/>
      <c r="M48" s="193"/>
    </row>
    <row r="49" spans="2:13" ht="31.5" customHeight="1" thickBot="1" x14ac:dyDescent="0.35">
      <c r="B49" s="174"/>
      <c r="C49" s="175"/>
      <c r="D49" s="175"/>
      <c r="E49" s="175"/>
      <c r="F49" s="175"/>
      <c r="G49" s="175"/>
      <c r="H49" s="175"/>
      <c r="I49" s="175"/>
      <c r="J49" s="175"/>
      <c r="K49" s="175"/>
      <c r="L49" s="175"/>
      <c r="M49" s="176"/>
    </row>
    <row r="50" spans="2:13" x14ac:dyDescent="0.3">
      <c r="B50" s="97"/>
      <c r="C50" s="97"/>
      <c r="D50" s="97"/>
      <c r="E50" s="97"/>
      <c r="F50" s="97"/>
      <c r="G50" s="97"/>
      <c r="H50" s="97"/>
      <c r="I50" s="97"/>
      <c r="J50" s="97"/>
      <c r="K50" s="97"/>
      <c r="L50" s="97"/>
      <c r="M50" s="97"/>
    </row>
  </sheetData>
  <mergeCells count="9">
    <mergeCell ref="B47:M49"/>
    <mergeCell ref="B46:M46"/>
    <mergeCell ref="B5:F6"/>
    <mergeCell ref="B19:I19"/>
    <mergeCell ref="B3:M4"/>
    <mergeCell ref="B9:I9"/>
    <mergeCell ref="B43:M45"/>
    <mergeCell ref="G5:M6"/>
    <mergeCell ref="B18:I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49"/>
  <sheetViews>
    <sheetView topLeftCell="A25" zoomScale="70" zoomScaleNormal="70" workbookViewId="0">
      <selection activeCell="B50" sqref="B50"/>
    </sheetView>
  </sheetViews>
  <sheetFormatPr defaultColWidth="11.44140625" defaultRowHeight="14.4" x14ac:dyDescent="0.3"/>
  <cols>
    <col min="1" max="1" width="11.44140625" style="141" customWidth="1"/>
    <col min="2" max="2" width="71" style="141" bestFit="1" customWidth="1"/>
    <col min="3" max="9" width="13.88671875" style="141" customWidth="1"/>
    <col min="10" max="11" width="11.44140625" style="141" customWidth="1"/>
    <col min="12" max="16384" width="11.44140625" style="141"/>
  </cols>
  <sheetData>
    <row r="2" spans="2:12" ht="15.75" customHeight="1" thickBot="1" x14ac:dyDescent="0.35"/>
    <row r="3" spans="2:12" ht="15" customHeight="1" x14ac:dyDescent="0.3">
      <c r="B3" s="180" t="s">
        <v>194</v>
      </c>
      <c r="C3" s="172"/>
      <c r="D3" s="172"/>
      <c r="E3" s="172"/>
      <c r="F3" s="172"/>
      <c r="G3" s="172"/>
      <c r="H3" s="172"/>
      <c r="I3" s="172"/>
      <c r="J3" s="172"/>
      <c r="K3" s="172"/>
      <c r="L3" s="173"/>
    </row>
    <row r="4" spans="2:12" ht="15.75" customHeight="1" thickBot="1" x14ac:dyDescent="0.35">
      <c r="B4" s="174"/>
      <c r="C4" s="175"/>
      <c r="D4" s="175"/>
      <c r="E4" s="175"/>
      <c r="F4" s="175"/>
      <c r="G4" s="175"/>
      <c r="H4" s="175"/>
      <c r="I4" s="175"/>
      <c r="J4" s="175"/>
      <c r="K4" s="175"/>
      <c r="L4" s="176"/>
    </row>
    <row r="5" spans="2:12" ht="15" customHeight="1" x14ac:dyDescent="0.3">
      <c r="B5" s="208" t="s">
        <v>241</v>
      </c>
      <c r="C5" s="172"/>
      <c r="D5" s="172"/>
      <c r="E5" s="172"/>
      <c r="F5" s="171" t="str">
        <f>IF(M9&lt;=24%,"INICIAL",IF(M9&lt;=49%,"NOVATO",IF(M9&lt;=74%,"COMPETENTE",IF(M9&lt;=99%,"AVANZADO","EXPERTO"))))</f>
        <v>INICIAL</v>
      </c>
      <c r="G5" s="172"/>
      <c r="H5" s="172"/>
      <c r="I5" s="172"/>
      <c r="J5" s="172"/>
      <c r="K5" s="172"/>
      <c r="L5" s="173"/>
    </row>
    <row r="6" spans="2:12" ht="15.75" customHeight="1" thickBot="1" x14ac:dyDescent="0.35">
      <c r="B6" s="174"/>
      <c r="C6" s="175"/>
      <c r="D6" s="175"/>
      <c r="E6" s="175"/>
      <c r="F6" s="174"/>
      <c r="G6" s="175"/>
      <c r="H6" s="175"/>
      <c r="I6" s="175"/>
      <c r="J6" s="175"/>
      <c r="K6" s="175"/>
      <c r="L6" s="176"/>
    </row>
    <row r="7" spans="2:12" ht="15.75" customHeight="1" thickBot="1" x14ac:dyDescent="0.35"/>
    <row r="8" spans="2:12" ht="15.75" customHeight="1" thickBot="1" x14ac:dyDescent="0.35">
      <c r="B8" s="188" t="s">
        <v>206</v>
      </c>
      <c r="C8" s="184"/>
      <c r="D8" s="184"/>
      <c r="E8" s="184"/>
      <c r="F8" s="184"/>
      <c r="G8" s="184"/>
      <c r="H8" s="184"/>
      <c r="I8" s="185"/>
    </row>
    <row r="9" spans="2:12" ht="27.75" customHeight="1" thickBot="1" x14ac:dyDescent="0.35">
      <c r="B9" s="68"/>
      <c r="C9" s="92" t="s">
        <v>242</v>
      </c>
      <c r="D9" s="93" t="s">
        <v>243</v>
      </c>
      <c r="E9" s="93" t="s">
        <v>244</v>
      </c>
      <c r="F9" s="94" t="s">
        <v>245</v>
      </c>
      <c r="G9" s="93" t="s">
        <v>246</v>
      </c>
      <c r="H9" s="95" t="s">
        <v>20</v>
      </c>
      <c r="I9" s="69"/>
    </row>
    <row r="10" spans="2:12" ht="15.75" customHeight="1" thickBot="1" x14ac:dyDescent="0.35">
      <c r="B10" s="4" t="s">
        <v>198</v>
      </c>
      <c r="C10" s="4">
        <v>0</v>
      </c>
      <c r="D10" s="4">
        <v>0.25</v>
      </c>
      <c r="E10" s="4">
        <v>0.5</v>
      </c>
      <c r="F10" s="4">
        <v>0.75</v>
      </c>
      <c r="G10" s="4">
        <v>1</v>
      </c>
      <c r="H10" s="5" t="s">
        <v>19</v>
      </c>
      <c r="I10" s="6" t="s">
        <v>199</v>
      </c>
    </row>
    <row r="11" spans="2:12" ht="15.75" customHeight="1" x14ac:dyDescent="0.3">
      <c r="B11" s="20" t="s">
        <v>129</v>
      </c>
      <c r="C11" s="115">
        <f>COUNTIF(REQUISITOS!B124:B130,"X")</f>
        <v>0</v>
      </c>
      <c r="D11" s="115">
        <f>COUNTIF(REQUISITOS!C124:C130,"X")</f>
        <v>0</v>
      </c>
      <c r="E11" s="115">
        <f>COUNTIF(REQUISITOS!D124:D130,"X")</f>
        <v>0</v>
      </c>
      <c r="F11" s="115">
        <f>COUNTIF(REQUISITOS!E124:E130,"X")</f>
        <v>0</v>
      </c>
      <c r="G11" s="115">
        <f>COUNTIF(REQUISITOS!F124:F130,"X")</f>
        <v>0</v>
      </c>
      <c r="H11" s="115">
        <f>COUNTIF(REQUISITOS!G124:G130,"X")</f>
        <v>0</v>
      </c>
      <c r="I11" s="110">
        <f>SUM(C11:H11)</f>
        <v>0</v>
      </c>
    </row>
    <row r="12" spans="2:12" ht="15.75" customHeight="1" thickBot="1" x14ac:dyDescent="0.35">
      <c r="B12" s="19" t="s">
        <v>137</v>
      </c>
      <c r="C12" s="76">
        <f>COUNTIF(REQUISITOS!B133:B137,"X")</f>
        <v>0</v>
      </c>
      <c r="D12" s="76">
        <f>COUNTIF(REQUISITOS!C133:C137,"X")</f>
        <v>0</v>
      </c>
      <c r="E12" s="76">
        <f>COUNTIF(REQUISITOS!D133:D137,"X")</f>
        <v>0</v>
      </c>
      <c r="F12" s="76">
        <f>COUNTIF(REQUISITOS!E133:E137,"X")</f>
        <v>0</v>
      </c>
      <c r="G12" s="76">
        <f>COUNTIF(REQUISITOS!F133:F137,"X")</f>
        <v>0</v>
      </c>
      <c r="H12" s="76">
        <f>COUNTIF(REQUISITOS!G133:G137,"X")</f>
        <v>0</v>
      </c>
      <c r="I12" s="111">
        <f>SUM(C12:H12)</f>
        <v>0</v>
      </c>
    </row>
    <row r="13" spans="2:12" ht="15.75" customHeight="1" thickBot="1" x14ac:dyDescent="0.35">
      <c r="B13" s="60" t="s">
        <v>199</v>
      </c>
      <c r="C13" s="99">
        <f t="shared" ref="C13:H13" si="0">SUM(C11:C12)</f>
        <v>0</v>
      </c>
      <c r="D13" s="99">
        <f t="shared" si="0"/>
        <v>0</v>
      </c>
      <c r="E13" s="99">
        <f t="shared" si="0"/>
        <v>0</v>
      </c>
      <c r="F13" s="99">
        <f t="shared" si="0"/>
        <v>0</v>
      </c>
      <c r="G13" s="99">
        <f t="shared" si="0"/>
        <v>0</v>
      </c>
      <c r="H13" s="99">
        <f t="shared" si="0"/>
        <v>0</v>
      </c>
      <c r="I13" s="100">
        <f>SUM(I11:I12)-H13</f>
        <v>0</v>
      </c>
    </row>
    <row r="14" spans="2:12" ht="15.75" customHeight="1" thickBot="1" x14ac:dyDescent="0.35">
      <c r="B14" s="189" t="s">
        <v>261</v>
      </c>
      <c r="C14" s="184"/>
      <c r="D14" s="184"/>
      <c r="E14" s="184"/>
      <c r="F14" s="184"/>
      <c r="G14" s="184"/>
      <c r="H14" s="184"/>
      <c r="I14" s="185"/>
    </row>
    <row r="15" spans="2:12" ht="15.75" customHeight="1" thickBot="1" x14ac:dyDescent="0.35">
      <c r="B15" s="194">
        <f>IF(I13=0,0,(C13*C10+D13*D10+E13*E10+F13*F10+G13*G10)/I13)</f>
        <v>0</v>
      </c>
      <c r="C15" s="184"/>
      <c r="D15" s="184"/>
      <c r="E15" s="184"/>
      <c r="F15" s="184"/>
      <c r="G15" s="184"/>
      <c r="H15" s="184"/>
      <c r="I15" s="185"/>
    </row>
    <row r="19" ht="15.75" customHeight="1" x14ac:dyDescent="0.3"/>
    <row r="21" ht="15" customHeight="1" x14ac:dyDescent="0.3"/>
    <row r="42" spans="2:12" ht="15.75" customHeight="1" thickBot="1" x14ac:dyDescent="0.35"/>
    <row r="43" spans="2:12" ht="15" customHeight="1" x14ac:dyDescent="0.3">
      <c r="B43" s="211" t="s">
        <v>249</v>
      </c>
      <c r="C43" s="172"/>
      <c r="D43" s="172"/>
      <c r="E43" s="172"/>
      <c r="F43" s="172"/>
      <c r="G43" s="172"/>
      <c r="H43" s="172"/>
      <c r="I43" s="172"/>
      <c r="J43" s="172"/>
      <c r="K43" s="172"/>
      <c r="L43" s="173"/>
    </row>
    <row r="44" spans="2:12" ht="15" customHeight="1" x14ac:dyDescent="0.3">
      <c r="B44" s="191"/>
      <c r="C44" s="192"/>
      <c r="D44" s="192"/>
      <c r="E44" s="192"/>
      <c r="F44" s="192"/>
      <c r="G44" s="192"/>
      <c r="H44" s="192"/>
      <c r="I44" s="192"/>
      <c r="J44" s="192"/>
      <c r="K44" s="192"/>
      <c r="L44" s="193"/>
    </row>
    <row r="45" spans="2:12" ht="15.75" customHeight="1" thickBot="1" x14ac:dyDescent="0.35">
      <c r="B45" s="174"/>
      <c r="C45" s="175"/>
      <c r="D45" s="175"/>
      <c r="E45" s="175"/>
      <c r="F45" s="175"/>
      <c r="G45" s="175"/>
      <c r="H45" s="175"/>
      <c r="I45" s="175"/>
      <c r="J45" s="175"/>
      <c r="K45" s="175"/>
      <c r="L45" s="176"/>
    </row>
    <row r="46" spans="2:12" ht="27" customHeight="1" x14ac:dyDescent="0.3">
      <c r="B46" s="212" t="str">
        <f>"Según se muestra en la Tabla OPERACIÓN el porcentaje de implementación alcanzado es de "&amp;TEXT(B15,"0.00%")&amp;""</f>
        <v>Según se muestra en la Tabla OPERACIÓN el porcentaje de implementación alcanzado es de 0.00%</v>
      </c>
      <c r="C46" s="172"/>
      <c r="D46" s="172"/>
      <c r="E46" s="172"/>
      <c r="F46" s="172"/>
      <c r="G46" s="172"/>
      <c r="H46" s="172"/>
      <c r="I46" s="172"/>
      <c r="J46" s="172"/>
      <c r="K46" s="172"/>
      <c r="L46" s="173"/>
    </row>
    <row r="47" spans="2:12" ht="15.75" customHeight="1" x14ac:dyDescent="0.3">
      <c r="B47" s="209" t="s">
        <v>262</v>
      </c>
      <c r="C47" s="192"/>
      <c r="D47" s="192"/>
      <c r="E47" s="192"/>
      <c r="F47" s="192"/>
      <c r="G47" s="192"/>
      <c r="H47" s="192"/>
      <c r="I47" s="192"/>
      <c r="J47" s="192"/>
      <c r="K47" s="192"/>
      <c r="L47" s="193"/>
    </row>
    <row r="48" spans="2:12" x14ac:dyDescent="0.3">
      <c r="B48" s="191"/>
      <c r="C48" s="192"/>
      <c r="D48" s="192"/>
      <c r="E48" s="192"/>
      <c r="F48" s="192"/>
      <c r="G48" s="192"/>
      <c r="H48" s="192"/>
      <c r="I48" s="192"/>
      <c r="J48" s="192"/>
      <c r="K48" s="192"/>
      <c r="L48" s="193"/>
    </row>
    <row r="49" spans="2:12" ht="33" customHeight="1" thickBot="1" x14ac:dyDescent="0.35">
      <c r="B49" s="174"/>
      <c r="C49" s="175"/>
      <c r="D49" s="175"/>
      <c r="E49" s="175"/>
      <c r="F49" s="175"/>
      <c r="G49" s="175"/>
      <c r="H49" s="175"/>
      <c r="I49" s="175"/>
      <c r="J49" s="175"/>
      <c r="K49" s="175"/>
      <c r="L49" s="176"/>
    </row>
  </sheetData>
  <mergeCells count="9">
    <mergeCell ref="B15:I15"/>
    <mergeCell ref="B43:L45"/>
    <mergeCell ref="B3:L4"/>
    <mergeCell ref="B47:L49"/>
    <mergeCell ref="B14:I14"/>
    <mergeCell ref="B46:L46"/>
    <mergeCell ref="B5:E6"/>
    <mergeCell ref="B8:I8"/>
    <mergeCell ref="F5:L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48"/>
  <sheetViews>
    <sheetView topLeftCell="A22" zoomScale="70" zoomScaleNormal="70" workbookViewId="0">
      <selection activeCell="B49" sqref="B49"/>
    </sheetView>
  </sheetViews>
  <sheetFormatPr defaultColWidth="11.44140625" defaultRowHeight="14.4" x14ac:dyDescent="0.3"/>
  <cols>
    <col min="1" max="1" width="11.44140625" style="141" customWidth="1"/>
    <col min="2" max="2" width="48.33203125" style="141" customWidth="1"/>
    <col min="3" max="8" width="14.6640625" style="141" customWidth="1"/>
    <col min="9" max="10" width="11.44140625" style="141" customWidth="1"/>
    <col min="11" max="16384" width="11.44140625" style="141"/>
  </cols>
  <sheetData>
    <row r="2" spans="2:12" ht="15.75" customHeight="1" thickBot="1" x14ac:dyDescent="0.35"/>
    <row r="3" spans="2:12" ht="15" customHeight="1" x14ac:dyDescent="0.3">
      <c r="B3" s="180" t="s">
        <v>194</v>
      </c>
      <c r="C3" s="172"/>
      <c r="D3" s="172"/>
      <c r="E3" s="172"/>
      <c r="F3" s="172"/>
      <c r="G3" s="172"/>
      <c r="H3" s="172"/>
      <c r="I3" s="172"/>
      <c r="J3" s="172"/>
      <c r="K3" s="172"/>
      <c r="L3" s="173"/>
    </row>
    <row r="4" spans="2:12" ht="15.75" customHeight="1" thickBot="1" x14ac:dyDescent="0.35">
      <c r="B4" s="174"/>
      <c r="C4" s="175"/>
      <c r="D4" s="175"/>
      <c r="E4" s="175"/>
      <c r="F4" s="175"/>
      <c r="G4" s="175"/>
      <c r="H4" s="175"/>
      <c r="I4" s="175"/>
      <c r="J4" s="175"/>
      <c r="K4" s="175"/>
      <c r="L4" s="176"/>
    </row>
    <row r="5" spans="2:12" ht="15" customHeight="1" x14ac:dyDescent="0.3">
      <c r="B5" s="208" t="s">
        <v>241</v>
      </c>
      <c r="C5" s="172"/>
      <c r="D5" s="172"/>
      <c r="E5" s="172"/>
      <c r="F5" s="172"/>
      <c r="G5" s="171" t="str">
        <f>IF(M9&lt;=24%,"INICIAL",IF(M9&lt;=49%,"NOVATO",IF(M9&lt;=74%,"COMPETENTE",IF(M9&lt;=99%,"AVANZADO","EXPERTO"))))</f>
        <v>INICIAL</v>
      </c>
      <c r="H5" s="172"/>
      <c r="I5" s="172"/>
      <c r="J5" s="172"/>
      <c r="K5" s="172"/>
      <c r="L5" s="173"/>
    </row>
    <row r="6" spans="2:12" ht="15.75" customHeight="1" thickBot="1" x14ac:dyDescent="0.35">
      <c r="B6" s="174"/>
      <c r="C6" s="175"/>
      <c r="D6" s="175"/>
      <c r="E6" s="175"/>
      <c r="F6" s="175"/>
      <c r="G6" s="174"/>
      <c r="H6" s="175"/>
      <c r="I6" s="175"/>
      <c r="J6" s="175"/>
      <c r="K6" s="175"/>
      <c r="L6" s="176"/>
    </row>
    <row r="9" spans="2:12" ht="15.75" customHeight="1" thickBot="1" x14ac:dyDescent="0.35"/>
    <row r="10" spans="2:12" ht="15.75" customHeight="1" thickBot="1" x14ac:dyDescent="0.35">
      <c r="B10" s="188" t="s">
        <v>263</v>
      </c>
      <c r="C10" s="184"/>
      <c r="D10" s="184"/>
      <c r="E10" s="184"/>
      <c r="F10" s="184"/>
      <c r="G10" s="184"/>
      <c r="H10" s="184"/>
      <c r="I10" s="185"/>
    </row>
    <row r="11" spans="2:12" ht="27.75" customHeight="1" thickBot="1" x14ac:dyDescent="0.35">
      <c r="B11" s="68"/>
      <c r="C11" s="92" t="s">
        <v>242</v>
      </c>
      <c r="D11" s="93" t="s">
        <v>243</v>
      </c>
      <c r="E11" s="93" t="s">
        <v>244</v>
      </c>
      <c r="F11" s="94" t="s">
        <v>245</v>
      </c>
      <c r="G11" s="93" t="s">
        <v>246</v>
      </c>
      <c r="H11" s="95" t="s">
        <v>20</v>
      </c>
      <c r="I11" s="69"/>
    </row>
    <row r="12" spans="2:12" ht="15.75" customHeight="1" thickBot="1" x14ac:dyDescent="0.35">
      <c r="B12" s="57" t="s">
        <v>198</v>
      </c>
      <c r="C12" s="102">
        <v>0</v>
      </c>
      <c r="D12" s="102">
        <v>0.25</v>
      </c>
      <c r="E12" s="102">
        <v>0.5</v>
      </c>
      <c r="F12" s="102">
        <v>0.75</v>
      </c>
      <c r="G12" s="102">
        <v>1</v>
      </c>
      <c r="H12" s="103" t="s">
        <v>19</v>
      </c>
      <c r="I12" s="59" t="s">
        <v>199</v>
      </c>
    </row>
    <row r="13" spans="2:12" x14ac:dyDescent="0.3">
      <c r="B13" s="20" t="s">
        <v>144</v>
      </c>
      <c r="C13" s="104">
        <f>COUNTIF(REQUISITOS!B142:B152,"X")</f>
        <v>0</v>
      </c>
      <c r="D13" s="104">
        <f>COUNTIF(REQUISITOS!C142:C152,"X")</f>
        <v>0</v>
      </c>
      <c r="E13" s="104">
        <f>COUNTIF(REQUISITOS!D142:D152,"X")</f>
        <v>0</v>
      </c>
      <c r="F13" s="104">
        <f>COUNTIF(REQUISITOS!E142:E152,"X")</f>
        <v>0</v>
      </c>
      <c r="G13" s="104">
        <f>COUNTIF(REQUISITOS!F142:F152,"X")</f>
        <v>0</v>
      </c>
      <c r="H13" s="104">
        <f>COUNTIF(REQUISITOS!G142:G152,"X")</f>
        <v>0</v>
      </c>
      <c r="I13" s="110">
        <f>SUM(C13:H13)</f>
        <v>0</v>
      </c>
    </row>
    <row r="14" spans="2:12" x14ac:dyDescent="0.3">
      <c r="B14" s="19" t="s">
        <v>156</v>
      </c>
      <c r="C14" s="80">
        <f>COUNTIF(REQUISITOS!B156:B164,"X")</f>
        <v>0</v>
      </c>
      <c r="D14" s="80">
        <f>COUNTIF(REQUISITOS!C156:C164,"X")</f>
        <v>0</v>
      </c>
      <c r="E14" s="80">
        <f>COUNTIF(REQUISITOS!D156:D164,"X")</f>
        <v>0</v>
      </c>
      <c r="F14" s="80">
        <f>COUNTIF(REQUISITOS!E156:E164,"X")</f>
        <v>0</v>
      </c>
      <c r="G14" s="80">
        <f>COUNTIF(REQUISITOS!F156:F164,"X")</f>
        <v>0</v>
      </c>
      <c r="H14" s="80">
        <f>COUNTIF(REQUISITOS!G156:G164,"X")</f>
        <v>0</v>
      </c>
      <c r="I14" s="111">
        <f>SUM(C14:H14)</f>
        <v>0</v>
      </c>
    </row>
    <row r="15" spans="2:12" ht="15.75" customHeight="1" thickBot="1" x14ac:dyDescent="0.35">
      <c r="B15" s="19" t="s">
        <v>167</v>
      </c>
      <c r="C15" s="80">
        <f>COUNTIF(REQUISITOS!B168:B180,"X")</f>
        <v>0</v>
      </c>
      <c r="D15" s="80">
        <f>COUNTIF(REQUISITOS!C168:C180,"X")</f>
        <v>0</v>
      </c>
      <c r="E15" s="80">
        <f>COUNTIF(REQUISITOS!D168:D180,"X")</f>
        <v>0</v>
      </c>
      <c r="F15" s="80">
        <f>COUNTIF(REQUISITOS!E168:E180,"X")</f>
        <v>0</v>
      </c>
      <c r="G15" s="80">
        <f>COUNTIF(REQUISITOS!F168:F180,"X")</f>
        <v>0</v>
      </c>
      <c r="H15" s="80">
        <f>COUNTIF(REQUISITOS!G168:G180,"X")</f>
        <v>0</v>
      </c>
      <c r="I15" s="112">
        <f>SUM(C15:H15)</f>
        <v>0</v>
      </c>
    </row>
    <row r="16" spans="2:12" ht="15.75" customHeight="1" thickBot="1" x14ac:dyDescent="0.35">
      <c r="B16" s="60" t="s">
        <v>199</v>
      </c>
      <c r="C16" s="99">
        <f t="shared" ref="C16:H16" si="0">SUM(C13:C15)</f>
        <v>0</v>
      </c>
      <c r="D16" s="99">
        <f t="shared" si="0"/>
        <v>0</v>
      </c>
      <c r="E16" s="99">
        <f t="shared" si="0"/>
        <v>0</v>
      </c>
      <c r="F16" s="99">
        <f t="shared" si="0"/>
        <v>0</v>
      </c>
      <c r="G16" s="99">
        <f t="shared" si="0"/>
        <v>0</v>
      </c>
      <c r="H16" s="99">
        <f t="shared" si="0"/>
        <v>0</v>
      </c>
      <c r="I16" s="100">
        <f>SUM(I13:I15)-H16</f>
        <v>0</v>
      </c>
    </row>
    <row r="17" spans="2:9" ht="15.75" customHeight="1" thickBot="1" x14ac:dyDescent="0.35">
      <c r="B17" s="189" t="s">
        <v>264</v>
      </c>
      <c r="C17" s="184"/>
      <c r="D17" s="184"/>
      <c r="E17" s="184"/>
      <c r="F17" s="184"/>
      <c r="G17" s="184"/>
      <c r="H17" s="184"/>
      <c r="I17" s="185"/>
    </row>
    <row r="18" spans="2:9" ht="15.75" customHeight="1" thickBot="1" x14ac:dyDescent="0.35">
      <c r="B18" s="194">
        <f>IF(I16=0,0,(C16*C12+D16*D12+E16*E12+F16*F12+G16*G12)/I16)</f>
        <v>0</v>
      </c>
      <c r="C18" s="184"/>
      <c r="D18" s="184"/>
      <c r="E18" s="184"/>
      <c r="F18" s="184"/>
      <c r="G18" s="184"/>
      <c r="H18" s="184"/>
      <c r="I18" s="185"/>
    </row>
    <row r="26" spans="2:9" ht="15.75" customHeight="1" x14ac:dyDescent="0.3"/>
    <row r="28" spans="2:9" ht="15" customHeight="1" x14ac:dyDescent="0.3"/>
    <row r="38" spans="2:12" ht="15.75" customHeight="1" x14ac:dyDescent="0.3">
      <c r="B38" s="24"/>
    </row>
    <row r="41" spans="2:12" ht="15" customHeight="1" thickBot="1" x14ac:dyDescent="0.35"/>
    <row r="42" spans="2:12" ht="15" customHeight="1" x14ac:dyDescent="0.3">
      <c r="B42" s="211" t="s">
        <v>249</v>
      </c>
      <c r="C42" s="172"/>
      <c r="D42" s="172"/>
      <c r="E42" s="172"/>
      <c r="F42" s="172"/>
      <c r="G42" s="172"/>
      <c r="H42" s="172"/>
      <c r="I42" s="172"/>
      <c r="J42" s="172"/>
      <c r="K42" s="172"/>
      <c r="L42" s="173"/>
    </row>
    <row r="43" spans="2:12" ht="15.75" customHeight="1" x14ac:dyDescent="0.3">
      <c r="B43" s="191"/>
      <c r="C43" s="192"/>
      <c r="D43" s="192"/>
      <c r="E43" s="192"/>
      <c r="F43" s="192"/>
      <c r="G43" s="192"/>
      <c r="H43" s="192"/>
      <c r="I43" s="192"/>
      <c r="J43" s="192"/>
      <c r="K43" s="192"/>
      <c r="L43" s="193"/>
    </row>
    <row r="44" spans="2:12" ht="15.75" customHeight="1" thickBot="1" x14ac:dyDescent="0.35">
      <c r="B44" s="174"/>
      <c r="C44" s="175"/>
      <c r="D44" s="175"/>
      <c r="E44" s="175"/>
      <c r="F44" s="175"/>
      <c r="G44" s="175"/>
      <c r="H44" s="175"/>
      <c r="I44" s="175"/>
      <c r="J44" s="175"/>
      <c r="K44" s="175"/>
      <c r="L44" s="176"/>
    </row>
    <row r="45" spans="2:12" ht="22.5" customHeight="1" x14ac:dyDescent="0.3">
      <c r="B45" s="212" t="str">
        <f>"Según se muestra en la Tabla  Evaluación del Desempeño el porcentaje de implementación alcanzado es de "&amp;TEXT(B18,"0.00%")&amp;" "</f>
        <v xml:space="preserve">Según se muestra en la Tabla  Evaluación del Desempeño el porcentaje de implementación alcanzado es de 0.00% </v>
      </c>
      <c r="C45" s="172"/>
      <c r="D45" s="172"/>
      <c r="E45" s="172"/>
      <c r="F45" s="172"/>
      <c r="G45" s="172"/>
      <c r="H45" s="172"/>
      <c r="I45" s="172"/>
      <c r="J45" s="172"/>
      <c r="K45" s="172"/>
      <c r="L45" s="173"/>
    </row>
    <row r="46" spans="2:12" ht="15.75" customHeight="1" x14ac:dyDescent="0.3">
      <c r="B46" s="209" t="s">
        <v>265</v>
      </c>
      <c r="C46" s="192"/>
      <c r="D46" s="192"/>
      <c r="E46" s="192"/>
      <c r="F46" s="192"/>
      <c r="G46" s="192"/>
      <c r="H46" s="192"/>
      <c r="I46" s="192"/>
      <c r="J46" s="192"/>
      <c r="K46" s="192"/>
      <c r="L46" s="193"/>
    </row>
    <row r="47" spans="2:12" x14ac:dyDescent="0.3">
      <c r="B47" s="191"/>
      <c r="C47" s="192"/>
      <c r="D47" s="192"/>
      <c r="E47" s="192"/>
      <c r="F47" s="192"/>
      <c r="G47" s="192"/>
      <c r="H47" s="192"/>
      <c r="I47" s="192"/>
      <c r="J47" s="192"/>
      <c r="K47" s="192"/>
      <c r="L47" s="193"/>
    </row>
    <row r="48" spans="2:12" ht="15.75" customHeight="1" thickBot="1" x14ac:dyDescent="0.35">
      <c r="B48" s="174"/>
      <c r="C48" s="175"/>
      <c r="D48" s="175"/>
      <c r="E48" s="175"/>
      <c r="F48" s="175"/>
      <c r="G48" s="175"/>
      <c r="H48" s="175"/>
      <c r="I48" s="175"/>
      <c r="J48" s="175"/>
      <c r="K48" s="175"/>
      <c r="L48" s="176"/>
    </row>
  </sheetData>
  <mergeCells count="9">
    <mergeCell ref="B18:I18"/>
    <mergeCell ref="G5:L6"/>
    <mergeCell ref="B3:L4"/>
    <mergeCell ref="B46:L48"/>
    <mergeCell ref="B10:I10"/>
    <mergeCell ref="B5:F6"/>
    <mergeCell ref="B42:L44"/>
    <mergeCell ref="B45:L45"/>
    <mergeCell ref="B17:I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N47"/>
  <sheetViews>
    <sheetView zoomScale="70" zoomScaleNormal="70" workbookViewId="0">
      <selection activeCell="D51" sqref="D51"/>
    </sheetView>
  </sheetViews>
  <sheetFormatPr defaultColWidth="11.44140625" defaultRowHeight="14.4" x14ac:dyDescent="0.3"/>
  <cols>
    <col min="1" max="1" width="11.44140625" style="141" customWidth="1"/>
    <col min="2" max="2" width="37.33203125" style="141" customWidth="1"/>
    <col min="3" max="3" width="15.6640625" style="141" bestFit="1" customWidth="1"/>
    <col min="4" max="4" width="13.44140625" style="141" bestFit="1" customWidth="1"/>
    <col min="5" max="5" width="15" style="141" bestFit="1" customWidth="1"/>
    <col min="6" max="7" width="11.5546875" style="141" bestFit="1" customWidth="1"/>
    <col min="8" max="8" width="9.109375" style="141" customWidth="1"/>
    <col min="9" max="10" width="11.44140625" style="141" customWidth="1"/>
    <col min="11" max="16384" width="11.44140625" style="141"/>
  </cols>
  <sheetData>
    <row r="2" spans="2:14" ht="15.75" customHeight="1" thickBot="1" x14ac:dyDescent="0.35"/>
    <row r="3" spans="2:14" ht="15" customHeight="1" x14ac:dyDescent="0.3">
      <c r="B3" s="180" t="s">
        <v>194</v>
      </c>
      <c r="C3" s="172"/>
      <c r="D3" s="172"/>
      <c r="E3" s="172"/>
      <c r="F3" s="172"/>
      <c r="G3" s="172"/>
      <c r="H3" s="172"/>
      <c r="I3" s="172"/>
      <c r="J3" s="172"/>
      <c r="K3" s="172"/>
      <c r="L3" s="172"/>
      <c r="M3" s="172"/>
      <c r="N3" s="173"/>
    </row>
    <row r="4" spans="2:14" ht="15.75" customHeight="1" thickBot="1" x14ac:dyDescent="0.35">
      <c r="B4" s="174"/>
      <c r="C4" s="175"/>
      <c r="D4" s="175"/>
      <c r="E4" s="175"/>
      <c r="F4" s="175"/>
      <c r="G4" s="175"/>
      <c r="H4" s="175"/>
      <c r="I4" s="175"/>
      <c r="J4" s="175"/>
      <c r="K4" s="175"/>
      <c r="L4" s="175"/>
      <c r="M4" s="175"/>
      <c r="N4" s="176"/>
    </row>
    <row r="5" spans="2:14" ht="15" customHeight="1" x14ac:dyDescent="0.3">
      <c r="B5" s="208" t="s">
        <v>241</v>
      </c>
      <c r="C5" s="172"/>
      <c r="D5" s="172"/>
      <c r="E5" s="172"/>
      <c r="F5" s="172"/>
      <c r="G5" s="172"/>
      <c r="H5" s="171" t="str">
        <f>IF(M9&lt;=24%,"INICIAL",IF(M9&lt;=49%,"NOVATO",IF(M9&lt;=74%,"COMPETENTE",IF(M9&lt;=99%,"AVANZADO","EXPERTO"))))</f>
        <v>INICIAL</v>
      </c>
      <c r="I5" s="172"/>
      <c r="J5" s="172"/>
      <c r="K5" s="172"/>
      <c r="L5" s="172"/>
      <c r="M5" s="172"/>
      <c r="N5" s="173"/>
    </row>
    <row r="6" spans="2:14" ht="15.75" customHeight="1" thickBot="1" x14ac:dyDescent="0.35">
      <c r="B6" s="174"/>
      <c r="C6" s="175"/>
      <c r="D6" s="175"/>
      <c r="E6" s="175"/>
      <c r="F6" s="175"/>
      <c r="G6" s="175"/>
      <c r="H6" s="174"/>
      <c r="I6" s="175"/>
      <c r="J6" s="175"/>
      <c r="K6" s="175"/>
      <c r="L6" s="175"/>
      <c r="M6" s="175"/>
      <c r="N6" s="176"/>
    </row>
    <row r="8" spans="2:14" ht="15.75" customHeight="1" thickBot="1" x14ac:dyDescent="0.35"/>
    <row r="9" spans="2:14" ht="15.75" customHeight="1" thickBot="1" x14ac:dyDescent="0.35">
      <c r="B9" s="188" t="s">
        <v>234</v>
      </c>
      <c r="C9" s="184"/>
      <c r="D9" s="184"/>
      <c r="E9" s="184"/>
      <c r="F9" s="184"/>
      <c r="G9" s="184"/>
      <c r="H9" s="184"/>
      <c r="I9" s="185"/>
    </row>
    <row r="10" spans="2:14" ht="27.75" customHeight="1" thickBot="1" x14ac:dyDescent="0.35">
      <c r="B10" s="68"/>
      <c r="C10" s="92" t="s">
        <v>242</v>
      </c>
      <c r="D10" s="93" t="s">
        <v>243</v>
      </c>
      <c r="E10" s="93" t="s">
        <v>244</v>
      </c>
      <c r="F10" s="94" t="s">
        <v>245</v>
      </c>
      <c r="G10" s="93" t="s">
        <v>246</v>
      </c>
      <c r="H10" s="95" t="s">
        <v>20</v>
      </c>
      <c r="I10" s="69"/>
    </row>
    <row r="11" spans="2:14" ht="15.75" customHeight="1" thickBot="1" x14ac:dyDescent="0.35">
      <c r="B11" s="4" t="s">
        <v>198</v>
      </c>
      <c r="C11" s="4">
        <v>0</v>
      </c>
      <c r="D11" s="4">
        <v>0.25</v>
      </c>
      <c r="E11" s="4">
        <v>0.5</v>
      </c>
      <c r="F11" s="4">
        <v>0.75</v>
      </c>
      <c r="G11" s="4">
        <v>1</v>
      </c>
      <c r="H11" s="5" t="s">
        <v>19</v>
      </c>
      <c r="I11" s="6" t="s">
        <v>199</v>
      </c>
    </row>
    <row r="12" spans="2:14" ht="15.75" customHeight="1" thickBot="1" x14ac:dyDescent="0.35">
      <c r="B12" s="9" t="s">
        <v>266</v>
      </c>
      <c r="C12" s="109">
        <f>COUNTIF(REQUISITOS!B184:B185,"X")</f>
        <v>0</v>
      </c>
      <c r="D12" s="109">
        <f>COUNTIF(REQUISITOS!C184:C185,"X")</f>
        <v>0</v>
      </c>
      <c r="E12" s="109">
        <f>COUNTIF(REQUISITOS!D184:D185,"X")</f>
        <v>0</v>
      </c>
      <c r="F12" s="109">
        <f>COUNTIF(REQUISITOS!E184:E185,"X")</f>
        <v>0</v>
      </c>
      <c r="G12" s="109">
        <f>COUNTIF(REQUISITOS!F184:F185,"X")</f>
        <v>0</v>
      </c>
      <c r="H12" s="109">
        <f>COUNTIF(REQUISITOS!G184:G185,"X")</f>
        <v>0</v>
      </c>
      <c r="I12" s="113">
        <f>SUM(C12:H12)</f>
        <v>0</v>
      </c>
    </row>
    <row r="13" spans="2:14" ht="15.75" customHeight="1" thickBot="1" x14ac:dyDescent="0.35">
      <c r="B13" s="9" t="s">
        <v>186</v>
      </c>
      <c r="C13" s="78">
        <f>COUNTIF(REQUISITOS!B188:B193,"X")</f>
        <v>0</v>
      </c>
      <c r="D13" s="78">
        <f>COUNTIF(REQUISITOS!C188:C193,"X")</f>
        <v>0</v>
      </c>
      <c r="E13" s="78">
        <f>COUNTIF(REQUISITOS!D188:D193,"X")</f>
        <v>0</v>
      </c>
      <c r="F13" s="78">
        <f>COUNTIF(REQUISITOS!E188:E193,"X")</f>
        <v>0</v>
      </c>
      <c r="G13" s="78">
        <f>COUNTIF(REQUISITOS!F188:F193,"X")</f>
        <v>0</v>
      </c>
      <c r="H13" s="78">
        <f>COUNTIF(REQUISITOS!G188:G193,"X")</f>
        <v>0</v>
      </c>
      <c r="I13" s="114">
        <f>SUM(C13:H13)</f>
        <v>0</v>
      </c>
    </row>
    <row r="14" spans="2:14" ht="15.75" customHeight="1" thickBot="1" x14ac:dyDescent="0.35">
      <c r="B14" s="60" t="s">
        <v>199</v>
      </c>
      <c r="C14" s="99">
        <f t="shared" ref="C14:H14" si="0">SUM(C12:C13)</f>
        <v>0</v>
      </c>
      <c r="D14" s="99">
        <f t="shared" si="0"/>
        <v>0</v>
      </c>
      <c r="E14" s="99">
        <f t="shared" si="0"/>
        <v>0</v>
      </c>
      <c r="F14" s="99">
        <f t="shared" si="0"/>
        <v>0</v>
      </c>
      <c r="G14" s="99">
        <f t="shared" si="0"/>
        <v>0</v>
      </c>
      <c r="H14" s="99">
        <f t="shared" si="0"/>
        <v>0</v>
      </c>
      <c r="I14" s="100">
        <f>SUM(I12:I13)-H14</f>
        <v>0</v>
      </c>
    </row>
    <row r="15" spans="2:14" ht="15.75" customHeight="1" thickBot="1" x14ac:dyDescent="0.35">
      <c r="B15" s="189" t="s">
        <v>267</v>
      </c>
      <c r="C15" s="184"/>
      <c r="D15" s="184"/>
      <c r="E15" s="184"/>
      <c r="F15" s="184"/>
      <c r="G15" s="184"/>
      <c r="H15" s="184"/>
      <c r="I15" s="185"/>
    </row>
    <row r="16" spans="2:14" ht="15.75" customHeight="1" thickBot="1" x14ac:dyDescent="0.35">
      <c r="B16" s="194">
        <f>IF(I14=0,0,(C14*C11+D14*D11+E14*E11+F14*F11+G14*G11)/I14)</f>
        <v>0</v>
      </c>
      <c r="C16" s="184"/>
      <c r="D16" s="184"/>
      <c r="E16" s="184"/>
      <c r="F16" s="184"/>
      <c r="G16" s="184"/>
      <c r="H16" s="184"/>
      <c r="I16" s="185"/>
    </row>
    <row r="24" spans="9:9" ht="15.75" customHeight="1" x14ac:dyDescent="0.3">
      <c r="I24" s="24"/>
    </row>
    <row r="26" spans="9:9" ht="15" customHeight="1" x14ac:dyDescent="0.3"/>
    <row r="41" spans="2:14" ht="15.75" customHeight="1" thickBot="1" x14ac:dyDescent="0.35"/>
    <row r="42" spans="2:14" ht="15" customHeight="1" x14ac:dyDescent="0.3">
      <c r="B42" s="211" t="s">
        <v>249</v>
      </c>
      <c r="C42" s="172"/>
      <c r="D42" s="172"/>
      <c r="E42" s="172"/>
      <c r="F42" s="172"/>
      <c r="G42" s="172"/>
      <c r="H42" s="172"/>
      <c r="I42" s="172"/>
      <c r="J42" s="172"/>
      <c r="K42" s="172"/>
      <c r="L42" s="172"/>
      <c r="M42" s="172"/>
      <c r="N42" s="173"/>
    </row>
    <row r="43" spans="2:14" ht="15" customHeight="1" x14ac:dyDescent="0.3">
      <c r="B43" s="191"/>
      <c r="C43" s="192"/>
      <c r="D43" s="192"/>
      <c r="E43" s="192"/>
      <c r="F43" s="192"/>
      <c r="G43" s="192"/>
      <c r="H43" s="192"/>
      <c r="I43" s="192"/>
      <c r="J43" s="192"/>
      <c r="K43" s="192"/>
      <c r="L43" s="192"/>
      <c r="M43" s="192"/>
      <c r="N43" s="193"/>
    </row>
    <row r="44" spans="2:14" ht="15" customHeight="1" thickBot="1" x14ac:dyDescent="0.35">
      <c r="B44" s="174"/>
      <c r="C44" s="175"/>
      <c r="D44" s="175"/>
      <c r="E44" s="175"/>
      <c r="F44" s="175"/>
      <c r="G44" s="175"/>
      <c r="H44" s="175"/>
      <c r="I44" s="175"/>
      <c r="J44" s="175"/>
      <c r="K44" s="175"/>
      <c r="L44" s="175"/>
      <c r="M44" s="175"/>
      <c r="N44" s="176"/>
    </row>
    <row r="45" spans="2:14" ht="15" customHeight="1" x14ac:dyDescent="0.3">
      <c r="B45" s="210" t="str">
        <f>"Según se muestra en la Tabla  MEJORA el porcentaje de implementación alcanzado es de "&amp;TEXT(B16,"0.00%")&amp;" "</f>
        <v xml:space="preserve">Según se muestra en la Tabla  MEJORA el porcentaje de implementación alcanzado es de 0.00% </v>
      </c>
      <c r="C45" s="172"/>
      <c r="D45" s="172"/>
      <c r="E45" s="172"/>
      <c r="F45" s="172"/>
      <c r="G45" s="172"/>
      <c r="H45" s="172"/>
      <c r="I45" s="172"/>
      <c r="J45" s="172"/>
      <c r="K45" s="172"/>
      <c r="L45" s="172"/>
      <c r="M45" s="172"/>
      <c r="N45" s="173"/>
    </row>
    <row r="46" spans="2:14" ht="15" customHeight="1" x14ac:dyDescent="0.3">
      <c r="B46" s="213" t="s">
        <v>268</v>
      </c>
      <c r="C46" s="192"/>
      <c r="D46" s="192"/>
      <c r="E46" s="192"/>
      <c r="F46" s="192"/>
      <c r="G46" s="192"/>
      <c r="H46" s="192"/>
      <c r="I46" s="192"/>
      <c r="J46" s="192"/>
      <c r="K46" s="192"/>
      <c r="L46" s="192"/>
      <c r="M46" s="192"/>
      <c r="N46" s="193"/>
    </row>
    <row r="47" spans="2:14" ht="15.75" customHeight="1" thickBot="1" x14ac:dyDescent="0.35">
      <c r="B47" s="174"/>
      <c r="C47" s="175"/>
      <c r="D47" s="175"/>
      <c r="E47" s="175"/>
      <c r="F47" s="175"/>
      <c r="G47" s="175"/>
      <c r="H47" s="175"/>
      <c r="I47" s="175"/>
      <c r="J47" s="175"/>
      <c r="K47" s="175"/>
      <c r="L47" s="175"/>
      <c r="M47" s="175"/>
      <c r="N47" s="176"/>
    </row>
  </sheetData>
  <mergeCells count="9">
    <mergeCell ref="B3:N4"/>
    <mergeCell ref="B46:N47"/>
    <mergeCell ref="B9:I9"/>
    <mergeCell ref="B42:N44"/>
    <mergeCell ref="H5:N6"/>
    <mergeCell ref="B45:N45"/>
    <mergeCell ref="B15:I15"/>
    <mergeCell ref="B5:G6"/>
    <mergeCell ref="B16:I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VALORES</vt:lpstr>
      <vt:lpstr>REQUISITOS</vt:lpstr>
      <vt:lpstr>ANÁLISIS DATOS GLOBAL</vt:lpstr>
      <vt:lpstr>ANÁLISIS 4</vt:lpstr>
      <vt:lpstr>ANÁLISIS 5</vt:lpstr>
      <vt:lpstr>ANÁLISIS 6</vt:lpstr>
      <vt:lpstr>ANÁLISIS 7</vt:lpstr>
      <vt:lpstr>ANÁLISIS 8</vt:lpstr>
      <vt:lpstr>ANÁLISIS 9</vt:lpstr>
      <vt:lpstr>ANÁLISIS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dc:creator>
  <cp:keywords/>
  <dc:description/>
  <cp:lastModifiedBy>dave</cp:lastModifiedBy>
  <cp:revision/>
  <dcterms:created xsi:type="dcterms:W3CDTF">2015-06-05T18:19:34Z</dcterms:created>
  <dcterms:modified xsi:type="dcterms:W3CDTF">2026-08-19T02:59:05Z</dcterms:modified>
  <cp:category/>
  <cp:contentStatus/>
</cp:coreProperties>
</file>